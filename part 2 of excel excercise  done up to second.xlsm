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D1A710C-6663-3D7B-7F91-EC182F24A4BC}"/>
  <workbookPr codeName="ThisWorkbook"/>
  <mc:AlternateContent xmlns:mc="http://schemas.openxmlformats.org/markup-compatibility/2006">
    <mc:Choice Requires="x15">
      <x15ac:absPath xmlns:x15ac="http://schemas.microsoft.com/office/spreadsheetml/2010/11/ac" url="C:\Users\ishutkin\Desktop\"/>
    </mc:Choice>
  </mc:AlternateContent>
  <xr:revisionPtr revIDLastSave="0" documentId="8_{7843474C-4738-4D19-B9D9-D1F7F47E1EAA}" xr6:coauthVersionLast="47" xr6:coauthVersionMax="47" xr10:uidLastSave="{00000000-0000-0000-0000-000000000000}"/>
  <bookViews>
    <workbookView xWindow="-120" yWindow="-120" windowWidth="29040" windowHeight="15720" tabRatio="943" activeTab="2" xr2:uid="{00000000-000D-0000-FFFF-FFFF00000000}"/>
  </bookViews>
  <sheets>
    <sheet name="חיזוי" sheetId="40" r:id="rId1"/>
    <sheet name="conditional formatting" sheetId="42" r:id="rId2"/>
    <sheet name=" טבלת ציר" sheetId="26" r:id="rId3"/>
    <sheet name="נתונים לטבלת ציר" sheetId="28" r:id="rId4"/>
    <sheet name="תשובות לטבלת ציר" sheetId="29" r:id="rId5"/>
    <sheet name="עבודה אישית" sheetId="31" r:id="rId6"/>
  </sheets>
  <definedNames>
    <definedName name="_xlcn.WorksheetConnection_חיזויA1B981" hidden="1">חיזוי!$A$1:$B$98</definedName>
    <definedName name="Customers" localSheetId="1">#REF!</definedName>
    <definedName name="Customers">#REF!</definedName>
    <definedName name="אינטל___4" localSheetId="1">#REF!</definedName>
    <definedName name="אינטל___4">#REF!</definedName>
    <definedName name="הוצאות_ישירות" localSheetId="1">#REF!</definedName>
    <definedName name="הוצאות_ישירות">#REF!</definedName>
    <definedName name="הכ" localSheetId="1">#REF!</definedName>
    <definedName name="הכ">#REF!</definedName>
    <definedName name="הכנסה" localSheetId="1">#REF!</definedName>
    <definedName name="הכנסה">#REF!</definedName>
    <definedName name="מבנה" localSheetId="1">#REF!</definedName>
    <definedName name="מבנה">#REF!</definedName>
    <definedName name="ממוצע_ביקורים" localSheetId="1">#REF!</definedName>
    <definedName name="ממוצע_ביקורים">#REF!</definedName>
    <definedName name="מצרכים" localSheetId="1">#REF!</definedName>
    <definedName name="מצרכים">#REF!</definedName>
    <definedName name="משכורות" localSheetId="1">#REF!</definedName>
    <definedName name="משכורות">#REF!</definedName>
    <definedName name="עלות_כללית" localSheetId="1">#REF!</definedName>
    <definedName name="עלות_כללית">#REF!</definedName>
    <definedName name="פחת" localSheetId="1">#REF!</definedName>
    <definedName name="פחת">#REF!</definedName>
    <definedName name="פרסום" localSheetId="1">#REF!</definedName>
    <definedName name="פרסום">#REF!</definedName>
    <definedName name="שונות" localSheetId="1">#REF!</definedName>
    <definedName name="שונות">#REF!</definedName>
    <definedName name="שם_משמעותי" localSheetId="1">#REF!</definedName>
    <definedName name="שם_משמעותי">#REF!</definedName>
    <definedName name="תפוצת_קוראים" localSheetId="1">#REF!</definedName>
    <definedName name="תפוצת_קוראים">#REF!</definedName>
    <definedName name="תקציב_עיתון_3_4" localSheetId="1">#REF!</definedName>
    <definedName name="תקציב_עיתון_3_4">#REF!</definedName>
  </definedNames>
  <calcPr calcId="191029"/>
  <pivotCaches>
    <pivotCache cacheId="0" r:id="rId7"/>
  </pivotCaches>
  <extLst>
    <ext xmlns:x15="http://schemas.microsoft.com/office/spreadsheetml/2010/11/main" uri="{FCE2AD5D-F65C-4FA6-A056-5C36A1767C68}">
      <x15:dataModel>
        <x15:modelTables>
          <x15:modelTable id="Range" name="Range" connection="WorksheetConnection_חיזוי!$A$1:$B$98"/>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G78" i="40" l="1"/>
  <c r="G77" i="40"/>
  <c r="F76" i="40" a="1"/>
  <c r="F76" i="40" s="1"/>
  <c r="F57" i="40"/>
  <c r="F56" i="40"/>
  <c r="F61" i="40"/>
  <c r="F60" i="4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6F01E9-FDA6-4A74-AE54-ED9872079F9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3598C30-58BE-484B-9A0C-6F8BE2C98901}" name="WorksheetConnection_חיזוי!$A$1:$B$98" type="102" refreshedVersion="8" minRefreshableVersion="5">
    <extLst>
      <ext xmlns:x15="http://schemas.microsoft.com/office/spreadsheetml/2010/11/main" uri="{DE250136-89BD-433C-8126-D09CA5730AF9}">
        <x15:connection id="Range">
          <x15:rangePr sourceName="_xlcn.WorksheetConnection_חיזויA1B98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<sst xmlns="http://schemas.openxmlformats.org/spreadsheetml/2006/main" count="373" uniqueCount="150">
  <si>
    <t>חיפה</t>
  </si>
  <si>
    <t>באר שבע</t>
  </si>
  <si>
    <t>שם משפחה</t>
  </si>
  <si>
    <t>אזור</t>
  </si>
  <si>
    <t>יישוב</t>
  </si>
  <si>
    <t>תשלום</t>
  </si>
  <si>
    <t>דרום</t>
  </si>
  <si>
    <t>שחמט</t>
  </si>
  <si>
    <t>מרכז</t>
  </si>
  <si>
    <t>תל אביב</t>
  </si>
  <si>
    <t>בלט</t>
  </si>
  <si>
    <t>צפון</t>
  </si>
  <si>
    <t>אגרוף תאלינדי</t>
  </si>
  <si>
    <t>פתח תקווה</t>
  </si>
  <si>
    <t>שזירת פרחים</t>
  </si>
  <si>
    <t>קרית טבעון</t>
  </si>
  <si>
    <t>גבעתיים</t>
  </si>
  <si>
    <t>שחייה אומנותית</t>
  </si>
  <si>
    <t>קרית שמונה</t>
  </si>
  <si>
    <t>פיסול בשוקולד</t>
  </si>
  <si>
    <t>רהט</t>
  </si>
  <si>
    <t>נתניה</t>
  </si>
  <si>
    <t>מגדל העמק</t>
  </si>
  <si>
    <t>ערד</t>
  </si>
  <si>
    <t>חצור הגלילית</t>
  </si>
  <si>
    <t>חולון</t>
  </si>
  <si>
    <t>אילת</t>
  </si>
  <si>
    <t>בארי</t>
  </si>
  <si>
    <t>שם החוג</t>
  </si>
  <si>
    <t>תשובה לשאלה 1</t>
  </si>
  <si>
    <t>תשובה לשאלה 2</t>
  </si>
  <si>
    <t>תשובה לשאלה 3</t>
  </si>
  <si>
    <t>תשובה לשאלה 4</t>
  </si>
  <si>
    <t>תשובה לשאלה 5</t>
  </si>
  <si>
    <t>מזהה משפחה</t>
  </si>
  <si>
    <t>סימפסון</t>
  </si>
  <si>
    <t>רוטשילד</t>
  </si>
  <si>
    <t>צנעני</t>
  </si>
  <si>
    <t>סופרנו</t>
  </si>
  <si>
    <t>בלפונטה</t>
  </si>
  <si>
    <t>פלנדרס</t>
  </si>
  <si>
    <t>קדמוני</t>
  </si>
  <si>
    <t>סופר-על</t>
  </si>
  <si>
    <t>כהן</t>
  </si>
  <si>
    <t>לוי</t>
  </si>
  <si>
    <t>ארדיטי</t>
  </si>
  <si>
    <t>עינב</t>
  </si>
  <si>
    <t>הקיסרים</t>
  </si>
  <si>
    <t>זהבי</t>
  </si>
  <si>
    <t>חמו</t>
  </si>
  <si>
    <t>טננבאום</t>
  </si>
  <si>
    <t>בנאי</t>
  </si>
  <si>
    <t>חינאוי</t>
  </si>
  <si>
    <t>עידן</t>
  </si>
  <si>
    <t>עזריאל</t>
  </si>
  <si>
    <t>בשן</t>
  </si>
  <si>
    <t>פרדס</t>
  </si>
  <si>
    <t>סביר</t>
  </si>
  <si>
    <t>גולדברג</t>
  </si>
  <si>
    <t>אליפלט</t>
  </si>
  <si>
    <t>פרי</t>
  </si>
  <si>
    <t>נמרוד</t>
  </si>
  <si>
    <t>רבינוביץ'</t>
  </si>
  <si>
    <t>אלייב</t>
  </si>
  <si>
    <t>טיפו</t>
  </si>
  <si>
    <t>זוארץ</t>
  </si>
  <si>
    <t>בר</t>
  </si>
  <si>
    <t>כץ</t>
  </si>
  <si>
    <t>צדיק</t>
  </si>
  <si>
    <t>יונה</t>
  </si>
  <si>
    <t>עופר</t>
  </si>
  <si>
    <t>אבן</t>
  </si>
  <si>
    <t>אסייג</t>
  </si>
  <si>
    <t>מומין</t>
  </si>
  <si>
    <t>רוהר</t>
  </si>
  <si>
    <t>טימלים</t>
  </si>
  <si>
    <t>היונקים</t>
  </si>
  <si>
    <t>מוסקוביץ</t>
  </si>
  <si>
    <t>גולדן</t>
  </si>
  <si>
    <t>פרץ</t>
  </si>
  <si>
    <t>מלול</t>
  </si>
  <si>
    <t>מלבסקי</t>
  </si>
  <si>
    <t>שמידוב</t>
  </si>
  <si>
    <t>קימל</t>
  </si>
  <si>
    <t>אלפסי</t>
  </si>
  <si>
    <t>לוזון</t>
  </si>
  <si>
    <t>אלון</t>
  </si>
  <si>
    <t>מס' רכב</t>
  </si>
  <si>
    <t>סכום תדלוק</t>
  </si>
  <si>
    <t>שם פרטי</t>
  </si>
  <si>
    <t>יוני</t>
  </si>
  <si>
    <t>שרית</t>
  </si>
  <si>
    <t>עידו</t>
  </si>
  <si>
    <t>ורד</t>
  </si>
  <si>
    <t>ענת</t>
  </si>
  <si>
    <t>מיכאל</t>
  </si>
  <si>
    <t>איתמר</t>
  </si>
  <si>
    <t>יואל</t>
  </si>
  <si>
    <t>משה</t>
  </si>
  <si>
    <t>ליטל</t>
  </si>
  <si>
    <t>מאיה</t>
  </si>
  <si>
    <t>דפנה</t>
  </si>
  <si>
    <t>אושרת</t>
  </si>
  <si>
    <t>דינה</t>
  </si>
  <si>
    <t>אשר</t>
  </si>
  <si>
    <t>טוני</t>
  </si>
  <si>
    <t>דודו</t>
  </si>
  <si>
    <t>תום</t>
  </si>
  <si>
    <t>957-35</t>
  </si>
  <si>
    <t>1354-69</t>
  </si>
  <si>
    <t>153488-4</t>
  </si>
  <si>
    <t>384-862</t>
  </si>
  <si>
    <t>4687-6</t>
  </si>
  <si>
    <t>6873-2</t>
  </si>
  <si>
    <t>49876-3</t>
  </si>
  <si>
    <t>321-67</t>
  </si>
  <si>
    <t>2168644-6</t>
  </si>
  <si>
    <t>132465-6</t>
  </si>
  <si>
    <t>65468-46</t>
  </si>
  <si>
    <t>6324638-4</t>
  </si>
  <si>
    <t>321335-6</t>
  </si>
  <si>
    <t>54456-6</t>
  </si>
  <si>
    <t>3213-256</t>
  </si>
  <si>
    <t xml:space="preserve">שם </t>
  </si>
  <si>
    <t>Grand Total</t>
  </si>
  <si>
    <t>Column Labels</t>
  </si>
  <si>
    <t>Row Labels</t>
  </si>
  <si>
    <t>Sum of תשלום</t>
  </si>
  <si>
    <t>Population of City in 10,000s</t>
  </si>
  <si>
    <t>Profit in $10,000s</t>
  </si>
  <si>
    <t xml:space="preserve">תאריך </t>
  </si>
  <si>
    <t>טמפ</t>
  </si>
  <si>
    <t>14/01/2015</t>
  </si>
  <si>
    <t>14/4/2015</t>
  </si>
  <si>
    <t>15/5/2015</t>
  </si>
  <si>
    <t>18/12/2014</t>
  </si>
  <si>
    <t>20/12/2014</t>
  </si>
  <si>
    <t>20/8/2015</t>
  </si>
  <si>
    <t>21/8/2015</t>
  </si>
  <si>
    <t>25/12/2014</t>
  </si>
  <si>
    <t>26/12/2014</t>
  </si>
  <si>
    <t>28/2/2015</t>
  </si>
  <si>
    <t>30/7/2015</t>
  </si>
  <si>
    <t>Calculations for סביוני עומרים</t>
  </si>
  <si>
    <t>Calculations for סביוני עומרים using simple equation from approximation graph</t>
  </si>
  <si>
    <t>Calculations for סביוני עומרים using FORECAST.LIEAR(7, [dataset]) func</t>
  </si>
  <si>
    <t>Calculations for נאות שיבולים using simple equation from approximation graph</t>
  </si>
  <si>
    <t>Calculations for נאות שיבולים using FORECAST.LIEAR(3.5, [dataset]) func</t>
  </si>
  <si>
    <t>Calculation of linear approximation:</t>
  </si>
  <si>
    <t>Calculations for נאות שיבולים</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</si>
</sst>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0"/>
      <name val="Arial"/>
      <charset val="177"/>
    </font>
    <font>
      <b/>
      <sz val="10"/>
      <name val="Arial"/>
      <family val="2"/>
    </font>
    <font>
      <sz val="10"/>
      <name val="Arial"/>
      <family val="2"/>
    </font>
    <font>
      <sz val="8"/>
      <name val="Arial"/>
      <family val="2"/>
    </font>
    <font>
      <b/>
      <sz val="10"/>
      <name val="Arial"/>
      <family val="2"/>
    </font>
    <font>
      <i/>
      <sz val="10"/>
      <name val="Arial"/>
      <family val="2"/>
    </font>
    <font>
      <sz val="11"/>
      <color rgb="FF006100"/>
      <name val="Calibri"/>
      <family val="2"/>
      <scheme val="minor"/>
    </font>
    <font>
      <b/>
      <sz val="11"/>
      <color rgb="FF006100"/>
      <name val="Calibri"/>
      <family val="2"/>
      <scheme val="minor"/>
    </font>
  </fonts>
  <fills count="3">
    <fill>
      <patternFill patternType="none"/>
    </fill>
    <fill>
      <patternFill patternType="gray125"/>
    </fill>
    <fill>
      <patternFill patternType="solid">
        <fgColor rgb="FFC6EFCE"/>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s>
  <cellStyleXfs count="3">
    <xf numFmtId="0" fontId="0" fillId="0" borderId="0"/>
    <xf numFmtId="0" fontId="2" fillId="0" borderId="0"/>
    <xf numFmtId="0" fontId="6" fillId="2" borderId="0" applyNumberFormat="0" applyBorder="0" applyAlignment="0" applyProtection="0"/>
  </cellStyleXfs>
  <cellXfs count="35">
    <xf numFmtId="0" fontId="0" fillId="0" borderId="0" xfId="0"/>
    <xf numFmtId="0" fontId="0" fillId="0" borderId="0" xfId="0" applyAlignment="1">
      <alignment horizontal="center"/>
    </xf>
    <xf numFmtId="0" fontId="0" fillId="0" borderId="1" xfId="0" applyBorder="1"/>
    <xf numFmtId="0" fontId="0" fillId="0" borderId="10" xfId="0" applyBorder="1"/>
    <xf numFmtId="0" fontId="0" fillId="0" borderId="11" xfId="0" applyBorder="1"/>
    <xf numFmtId="0" fontId="0" fillId="0" borderId="3" xfId="0" applyBorder="1"/>
    <xf numFmtId="0" fontId="0" fillId="0" borderId="12" xfId="0" applyBorder="1"/>
    <xf numFmtId="0" fontId="0" fillId="0" borderId="4" xfId="0" applyBorder="1"/>
    <xf numFmtId="0" fontId="0" fillId="0" borderId="13" xfId="0" applyBorder="1"/>
    <xf numFmtId="0" fontId="0" fillId="0" borderId="14" xfId="0" applyBorder="1"/>
    <xf numFmtId="0" fontId="1" fillId="0" borderId="0" xfId="0" applyFont="1" applyAlignment="1">
      <alignment horizontal="center"/>
    </xf>
    <xf numFmtId="2" fontId="0" fillId="0" borderId="0" xfId="0" applyNumberFormat="1"/>
    <xf numFmtId="0" fontId="1" fillId="0" borderId="2" xfId="0" applyFont="1" applyBorder="1"/>
    <xf numFmtId="0" fontId="0" fillId="0" borderId="5" xfId="0" applyBorder="1"/>
    <xf numFmtId="0" fontId="0" fillId="0" borderId="6" xfId="0" applyBorder="1"/>
    <xf numFmtId="0" fontId="1" fillId="0" borderId="7" xfId="0" applyFont="1" applyBorder="1" applyAlignment="1">
      <alignment horizontal="center"/>
    </xf>
    <xf numFmtId="0" fontId="1" fillId="0" borderId="9" xfId="0" applyFont="1" applyBorder="1" applyAlignment="1">
      <alignment horizontal="center"/>
    </xf>
    <xf numFmtId="0" fontId="0" fillId="0" borderId="0" xfId="0" applyAlignment="1">
      <alignment horizontal="right"/>
    </xf>
    <xf numFmtId="49" fontId="0" fillId="0" borderId="0" xfId="0" applyNumberFormat="1"/>
    <xf numFmtId="0" fontId="4" fillId="0" borderId="0" xfId="0" applyFont="1" applyAlignment="1">
      <alignment horizontal="center" vertical="center" wrapText="1"/>
    </xf>
    <xf numFmtId="0" fontId="0" fillId="0" borderId="0" xfId="0" applyAlignment="1">
      <alignment wrapText="1"/>
    </xf>
    <xf numFmtId="0" fontId="1" fillId="0" borderId="8" xfId="0" applyFont="1" applyBorder="1" applyAlignment="1">
      <alignment horizontal="center"/>
    </xf>
    <xf numFmtId="0" fontId="2" fillId="0" borderId="0" xfId="0" applyFont="1"/>
    <xf numFmtId="0" fontId="0" fillId="0" borderId="0" xfId="0" pivotButton="1"/>
    <xf numFmtId="0" fontId="5" fillId="0" borderId="15" xfId="0" applyFont="1" applyBorder="1" applyAlignment="1">
      <alignment horizontal="center"/>
    </xf>
    <xf numFmtId="0" fontId="5" fillId="0" borderId="0" xfId="0" applyFont="1" applyAlignment="1">
      <alignment horizontal="centerContinuous"/>
    </xf>
    <xf numFmtId="0" fontId="5" fillId="0" borderId="0" xfId="0" applyFont="1" applyAlignment="1">
      <alignment horizontal="center"/>
    </xf>
    <xf numFmtId="0" fontId="0" fillId="0" borderId="10" xfId="0" applyBorder="1" applyAlignment="1">
      <alignment horizontal="right"/>
    </xf>
    <xf numFmtId="0" fontId="2" fillId="0" borderId="1" xfId="0" applyFont="1" applyBorder="1" applyAlignment="1">
      <alignment horizontal="center"/>
    </xf>
    <xf numFmtId="14" fontId="0" fillId="0" borderId="1" xfId="0" applyNumberFormat="1" applyBorder="1" applyAlignment="1">
      <alignment horizontal="center"/>
    </xf>
    <xf numFmtId="0" fontId="0" fillId="0" borderId="1" xfId="0" applyBorder="1" applyAlignment="1">
      <alignment horizontal="center"/>
    </xf>
    <xf numFmtId="14" fontId="2" fillId="0" borderId="1" xfId="0" applyNumberFormat="1" applyFont="1" applyBorder="1" applyAlignment="1">
      <alignment horizontal="center"/>
    </xf>
    <xf numFmtId="0" fontId="7" fillId="2" borderId="0" xfId="2" applyFont="1" applyAlignment="1">
      <alignment horizontal="center"/>
    </xf>
    <xf numFmtId="0" fontId="0" fillId="0" borderId="0" xfId="0" applyAlignment="1">
      <alignment horizontal="center" vertical="center"/>
    </xf>
    <xf numFmtId="0" fontId="0" fillId="0" borderId="0" xfId="0" applyAlignment="1">
      <alignment horizontal="center"/>
    </xf>
  </cellXfs>
  <cellStyles count="3">
    <cellStyle name="Good" xfId="2" builtinId="26"/>
    <cellStyle name="Normal" xfId="0" builtinId="0"/>
    <cellStyle name="Normal 2" xfId="1" xr:uid="{00000000-0005-0000-0000-000002000000}"/>
  </cellStyles>
  <dxfs count="18">
    <dxf>
      <fill>
        <patternFill>
          <bgColor rgb="FFFF0000"/>
        </patternFill>
      </fill>
    </dxf>
    <dxf>
      <fill>
        <patternFill>
          <bgColor rgb="FF00B050"/>
        </patternFill>
      </fill>
    </dxf>
    <dxf>
      <font>
        <b/>
        <i val="0"/>
      </font>
      <fill>
        <patternFill>
          <bgColor theme="3" tint="0.39994506668294322"/>
        </patternFill>
      </fill>
    </dxf>
    <dxf>
      <fill>
        <patternFill>
          <bgColor rgb="FFFF0000"/>
        </patternFill>
      </fill>
    </dxf>
    <dxf>
      <fill>
        <patternFill>
          <bgColor rgb="FFFF0000"/>
        </patternFill>
      </fill>
    </dxf>
    <dxf>
      <fill>
        <patternFill>
          <bgColor rgb="FF00B050"/>
        </patternFill>
      </fill>
    </dxf>
    <dxf>
      <font>
        <b/>
        <i val="0"/>
      </font>
      <fill>
        <patternFill>
          <bgColor theme="3" tint="0.39994506668294322"/>
        </patternFill>
      </fill>
    </dxf>
    <dxf>
      <fill>
        <patternFill>
          <bgColor rgb="FFFF0000"/>
        </patternFill>
      </fill>
    </dxf>
    <dxf>
      <fill>
        <patternFill>
          <bgColor rgb="FFFF0000"/>
        </patternFill>
      </fill>
    </dxf>
    <dxf>
      <fill>
        <patternFill>
          <bgColor rgb="FF00B050"/>
        </patternFill>
      </fill>
    </dxf>
    <dxf>
      <font>
        <b/>
        <i val="0"/>
      </font>
      <fill>
        <patternFill>
          <bgColor theme="3" tint="0.39994506668294322"/>
        </patternFill>
      </fill>
    </dxf>
    <dxf>
      <fill>
        <patternFill>
          <bgColor rgb="FFFF0000"/>
        </patternFill>
      </fill>
    </dxf>
    <dxf>
      <fill>
        <patternFill>
          <bgColor rgb="FF00B050"/>
        </patternFill>
      </fill>
    </dxf>
    <dxf>
      <font>
        <b/>
        <i val="0"/>
      </font>
      <fill>
        <patternFill>
          <bgColor theme="3" tint="0.39994506668294322"/>
        </patternFill>
      </fill>
    </dxf>
    <dxf>
      <fill>
        <patternFill>
          <bgColor rgb="FFFF0000"/>
        </patternFill>
      </fill>
    </dxf>
    <dxf>
      <font>
        <b/>
        <i val="0"/>
      </font>
      <fill>
        <patternFill>
          <bgColor theme="3" tint="0.39994506668294322"/>
        </patternFill>
      </fill>
    </dxf>
    <dxf>
      <fill>
        <patternFill>
          <bgColor rgb="FFFF0000"/>
        </patternFill>
      </fill>
    </dxf>
    <dxf>
      <fill>
        <patternFill>
          <bgColor rgb="FFFF0000"/>
        </patternFill>
      </fill>
    </dxf>
  </dxfs>
  <tableStyles count="1" defaultTableStyle="TableStyleMedium9" defaultPivotStyle="PivotStyleLight16">
    <tableStyle name="Invisible" pivot="0" table="0" count="0" xr9:uid="{739EAAA9-6162-4AA8-9D2A-002BC1849EAD}"/>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owerPivotData" Target="model/item.data"/><Relationship Id="rId18" Type="http://schemas.openxmlformats.org/officeDocument/2006/relationships/customXml" Target="../customXml/item4.xml"/><Relationship Id="rId26" Type="http://schemas.openxmlformats.org/officeDocument/2006/relationships/customXml" Target="../customXml/item12.xml"/><Relationship Id="rId3" Type="http://schemas.openxmlformats.org/officeDocument/2006/relationships/worksheet" Target="worksheets/sheet3.xml"/><Relationship Id="rId21" Type="http://schemas.openxmlformats.org/officeDocument/2006/relationships/customXml" Target="../customXml/item7.xml"/><Relationship Id="rId34" Type="http://schemas.microsoft.com/office/2006/relationships/vbaProject" Target="vbaProject.bin"/><Relationship Id="rId7" Type="http://schemas.openxmlformats.org/officeDocument/2006/relationships/pivotCacheDefinition" Target="pivotCache/pivotCacheDefinition1.xml"/><Relationship Id="rId12" Type="http://schemas.openxmlformats.org/officeDocument/2006/relationships/sheetMetadata" Target="metadata.xml"/><Relationship Id="rId17" Type="http://schemas.openxmlformats.org/officeDocument/2006/relationships/customXml" Target="../customXml/item3.xml"/><Relationship Id="rId25" Type="http://schemas.openxmlformats.org/officeDocument/2006/relationships/customXml" Target="../customXml/item11.xml"/><Relationship Id="rId33"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29"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24" Type="http://schemas.openxmlformats.org/officeDocument/2006/relationships/customXml" Target="../customXml/item10.xml"/><Relationship Id="rId32"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customXml" Target="../customXml/item1.xml"/><Relationship Id="rId23" Type="http://schemas.openxmlformats.org/officeDocument/2006/relationships/customXml" Target="../customXml/item9.xml"/><Relationship Id="rId28" Type="http://schemas.openxmlformats.org/officeDocument/2006/relationships/customXml" Target="../customXml/item14.xml"/><Relationship Id="rId10" Type="http://schemas.openxmlformats.org/officeDocument/2006/relationships/styles" Target="styles.xml"/><Relationship Id="rId19" Type="http://schemas.openxmlformats.org/officeDocument/2006/relationships/customXml" Target="../customXml/item5.xml"/><Relationship Id="rId31"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alcChain" Target="calcChain.xml"/><Relationship Id="rId22" Type="http://schemas.openxmlformats.org/officeDocument/2006/relationships/customXml" Target="../customXml/item8.xml"/><Relationship Id="rId27" Type="http://schemas.openxmlformats.org/officeDocument/2006/relationships/customXml" Target="../customXml/item13.xml"/><Relationship Id="rId30" Type="http://schemas.openxmlformats.org/officeDocument/2006/relationships/customXml" Target="../customXml/item16.xml"/><Relationship Id="rId8"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חיזוי!$B$1</c:f>
              <c:strCache>
                <c:ptCount val="1"/>
                <c:pt idx="0">
                  <c:v>Profit in $10,000s</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7.3178477690288721E-2"/>
                  <c:y val="0.3373199183435404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חיזוי!$A$2:$A$98</c:f>
              <c:numCache>
                <c:formatCode>General</c:formatCode>
                <c:ptCount val="97"/>
                <c:pt idx="0">
                  <c:v>6.1101000000000001</c:v>
                </c:pt>
                <c:pt idx="1">
                  <c:v>5.5277000000000003</c:v>
                </c:pt>
                <c:pt idx="2">
                  <c:v>8.5185999999999993</c:v>
                </c:pt>
                <c:pt idx="3">
                  <c:v>7.0031999999999996</c:v>
                </c:pt>
                <c:pt idx="4">
                  <c:v>5.8597999999999999</c:v>
                </c:pt>
                <c:pt idx="5">
                  <c:v>8.3828999999999994</c:v>
                </c:pt>
                <c:pt idx="6">
                  <c:v>7.4763999999999999</c:v>
                </c:pt>
                <c:pt idx="7">
                  <c:v>8.5780999999999992</c:v>
                </c:pt>
                <c:pt idx="8">
                  <c:v>6.4862000000000002</c:v>
                </c:pt>
                <c:pt idx="9">
                  <c:v>5.0545999999999998</c:v>
                </c:pt>
                <c:pt idx="10">
                  <c:v>5.7107000000000001</c:v>
                </c:pt>
                <c:pt idx="11">
                  <c:v>14.164</c:v>
                </c:pt>
                <c:pt idx="12">
                  <c:v>5.734</c:v>
                </c:pt>
                <c:pt idx="13">
                  <c:v>8.4084000000000003</c:v>
                </c:pt>
                <c:pt idx="14">
                  <c:v>5.6406999999999998</c:v>
                </c:pt>
                <c:pt idx="15">
                  <c:v>5.3794000000000004</c:v>
                </c:pt>
                <c:pt idx="16">
                  <c:v>6.3654000000000002</c:v>
                </c:pt>
                <c:pt idx="17">
                  <c:v>5.1300999999999997</c:v>
                </c:pt>
                <c:pt idx="18">
                  <c:v>6.4295999999999998</c:v>
                </c:pt>
                <c:pt idx="19">
                  <c:v>7.0708000000000002</c:v>
                </c:pt>
                <c:pt idx="20">
                  <c:v>6.1890999999999998</c:v>
                </c:pt>
                <c:pt idx="21">
                  <c:v>20.27</c:v>
                </c:pt>
                <c:pt idx="22">
                  <c:v>5.4901</c:v>
                </c:pt>
                <c:pt idx="23">
                  <c:v>6.3261000000000003</c:v>
                </c:pt>
                <c:pt idx="24">
                  <c:v>5.5648999999999997</c:v>
                </c:pt>
                <c:pt idx="25">
                  <c:v>18.945</c:v>
                </c:pt>
                <c:pt idx="26">
                  <c:v>12.827999999999999</c:v>
                </c:pt>
                <c:pt idx="27">
                  <c:v>10.957000000000001</c:v>
                </c:pt>
                <c:pt idx="28">
                  <c:v>13.176</c:v>
                </c:pt>
                <c:pt idx="29">
                  <c:v>22.202999999999999</c:v>
                </c:pt>
                <c:pt idx="30">
                  <c:v>5.2523999999999997</c:v>
                </c:pt>
                <c:pt idx="31">
                  <c:v>6.5894000000000004</c:v>
                </c:pt>
                <c:pt idx="32">
                  <c:v>9.2482000000000006</c:v>
                </c:pt>
                <c:pt idx="33">
                  <c:v>5.8917999999999999</c:v>
                </c:pt>
                <c:pt idx="34">
                  <c:v>8.2111000000000001</c:v>
                </c:pt>
                <c:pt idx="35">
                  <c:v>7.9333999999999998</c:v>
                </c:pt>
                <c:pt idx="36">
                  <c:v>8.0959000000000003</c:v>
                </c:pt>
                <c:pt idx="37">
                  <c:v>5.6063000000000001</c:v>
                </c:pt>
                <c:pt idx="38">
                  <c:v>12.836</c:v>
                </c:pt>
                <c:pt idx="39">
                  <c:v>6.3533999999999997</c:v>
                </c:pt>
                <c:pt idx="40">
                  <c:v>5.4069000000000003</c:v>
                </c:pt>
                <c:pt idx="41">
                  <c:v>6.8825000000000003</c:v>
                </c:pt>
                <c:pt idx="42">
                  <c:v>11.708</c:v>
                </c:pt>
                <c:pt idx="43">
                  <c:v>5.7736999999999998</c:v>
                </c:pt>
                <c:pt idx="44">
                  <c:v>7.8247</c:v>
                </c:pt>
                <c:pt idx="45">
                  <c:v>7.0930999999999997</c:v>
                </c:pt>
                <c:pt idx="46">
                  <c:v>5.0701999999999998</c:v>
                </c:pt>
                <c:pt idx="47">
                  <c:v>5.8014000000000001</c:v>
                </c:pt>
                <c:pt idx="48">
                  <c:v>11.7</c:v>
                </c:pt>
                <c:pt idx="49">
                  <c:v>5.5415999999999999</c:v>
                </c:pt>
                <c:pt idx="50">
                  <c:v>7.5401999999999996</c:v>
                </c:pt>
                <c:pt idx="51">
                  <c:v>5.3076999999999996</c:v>
                </c:pt>
                <c:pt idx="52">
                  <c:v>7.4238999999999997</c:v>
                </c:pt>
                <c:pt idx="53">
                  <c:v>7.6031000000000004</c:v>
                </c:pt>
                <c:pt idx="54">
                  <c:v>6.3327999999999998</c:v>
                </c:pt>
                <c:pt idx="55">
                  <c:v>6.3589000000000002</c:v>
                </c:pt>
                <c:pt idx="56">
                  <c:v>6.2742000000000004</c:v>
                </c:pt>
                <c:pt idx="57">
                  <c:v>5.6397000000000004</c:v>
                </c:pt>
                <c:pt idx="58">
                  <c:v>9.3102</c:v>
                </c:pt>
                <c:pt idx="59">
                  <c:v>9.4535999999999998</c:v>
                </c:pt>
                <c:pt idx="60">
                  <c:v>8.8254000000000001</c:v>
                </c:pt>
                <c:pt idx="61">
                  <c:v>5.1792999999999996</c:v>
                </c:pt>
                <c:pt idx="62">
                  <c:v>21.279</c:v>
                </c:pt>
                <c:pt idx="63">
                  <c:v>14.907999999999999</c:v>
                </c:pt>
                <c:pt idx="64">
                  <c:v>18.959</c:v>
                </c:pt>
                <c:pt idx="65">
                  <c:v>7.2182000000000004</c:v>
                </c:pt>
                <c:pt idx="66">
                  <c:v>8.2950999999999997</c:v>
                </c:pt>
                <c:pt idx="67">
                  <c:v>10.236000000000001</c:v>
                </c:pt>
                <c:pt idx="68">
                  <c:v>5.4993999999999996</c:v>
                </c:pt>
                <c:pt idx="69">
                  <c:v>20.341000000000001</c:v>
                </c:pt>
                <c:pt idx="70">
                  <c:v>10.135999999999999</c:v>
                </c:pt>
                <c:pt idx="71">
                  <c:v>7.3345000000000002</c:v>
                </c:pt>
                <c:pt idx="72">
                  <c:v>6.0061999999999998</c:v>
                </c:pt>
                <c:pt idx="73">
                  <c:v>7.2259000000000002</c:v>
                </c:pt>
                <c:pt idx="74">
                  <c:v>5.0269000000000004</c:v>
                </c:pt>
                <c:pt idx="75">
                  <c:v>6.5479000000000003</c:v>
                </c:pt>
                <c:pt idx="76">
                  <c:v>7.5385999999999997</c:v>
                </c:pt>
                <c:pt idx="77">
                  <c:v>5.0365000000000002</c:v>
                </c:pt>
                <c:pt idx="78">
                  <c:v>10.273999999999999</c:v>
                </c:pt>
                <c:pt idx="79">
                  <c:v>5.1077000000000004</c:v>
                </c:pt>
                <c:pt idx="80">
                  <c:v>5.7291999999999996</c:v>
                </c:pt>
                <c:pt idx="81">
                  <c:v>5.1883999999999997</c:v>
                </c:pt>
                <c:pt idx="82">
                  <c:v>6.3556999999999997</c:v>
                </c:pt>
                <c:pt idx="83">
                  <c:v>9.7687000000000008</c:v>
                </c:pt>
                <c:pt idx="84">
                  <c:v>6.5159000000000002</c:v>
                </c:pt>
                <c:pt idx="85">
                  <c:v>8.5172000000000008</c:v>
                </c:pt>
                <c:pt idx="86">
                  <c:v>9.1801999999999992</c:v>
                </c:pt>
                <c:pt idx="87">
                  <c:v>6.0019999999999998</c:v>
                </c:pt>
                <c:pt idx="88">
                  <c:v>5.5204000000000004</c:v>
                </c:pt>
                <c:pt idx="89">
                  <c:v>5.0594000000000001</c:v>
                </c:pt>
                <c:pt idx="90">
                  <c:v>5.7077</c:v>
                </c:pt>
                <c:pt idx="91">
                  <c:v>7.6365999999999996</c:v>
                </c:pt>
                <c:pt idx="92">
                  <c:v>5.8707000000000003</c:v>
                </c:pt>
                <c:pt idx="93">
                  <c:v>5.3053999999999997</c:v>
                </c:pt>
                <c:pt idx="94">
                  <c:v>8.2934000000000001</c:v>
                </c:pt>
                <c:pt idx="95">
                  <c:v>13.394</c:v>
                </c:pt>
                <c:pt idx="96">
                  <c:v>5.4368999999999996</c:v>
                </c:pt>
              </c:numCache>
            </c:numRef>
          </c:xVal>
          <c:yVal>
            <c:numRef>
              <c:f>חיזוי!$B$2:$B$98</c:f>
              <c:numCache>
                <c:formatCode>General</c:formatCode>
                <c:ptCount val="97"/>
                <c:pt idx="0">
                  <c:v>17.591999999999999</c:v>
                </c:pt>
                <c:pt idx="1">
                  <c:v>9.1302000000000003</c:v>
                </c:pt>
                <c:pt idx="2">
                  <c:v>13.662000000000001</c:v>
                </c:pt>
                <c:pt idx="3">
                  <c:v>11.853999999999999</c:v>
                </c:pt>
                <c:pt idx="4">
                  <c:v>6.8232999999999997</c:v>
                </c:pt>
                <c:pt idx="5">
                  <c:v>11.885999999999999</c:v>
                </c:pt>
                <c:pt idx="6">
                  <c:v>4.3483000000000001</c:v>
                </c:pt>
                <c:pt idx="7">
                  <c:v>12</c:v>
                </c:pt>
                <c:pt idx="8">
                  <c:v>6.5987</c:v>
                </c:pt>
                <c:pt idx="9">
                  <c:v>3.8166000000000002</c:v>
                </c:pt>
                <c:pt idx="10">
                  <c:v>3.2522000000000002</c:v>
                </c:pt>
                <c:pt idx="11">
                  <c:v>15.505000000000001</c:v>
                </c:pt>
                <c:pt idx="12">
                  <c:v>3.1551</c:v>
                </c:pt>
                <c:pt idx="13">
                  <c:v>7.2257999999999996</c:v>
                </c:pt>
                <c:pt idx="14">
                  <c:v>0.71618000000000004</c:v>
                </c:pt>
                <c:pt idx="15">
                  <c:v>3.5129000000000001</c:v>
                </c:pt>
                <c:pt idx="16">
                  <c:v>5.3048000000000002</c:v>
                </c:pt>
                <c:pt idx="17">
                  <c:v>0.56076999999999999</c:v>
                </c:pt>
                <c:pt idx="18">
                  <c:v>3.6518000000000002</c:v>
                </c:pt>
                <c:pt idx="19">
                  <c:v>5.3893000000000004</c:v>
                </c:pt>
                <c:pt idx="20">
                  <c:v>3.1385999999999998</c:v>
                </c:pt>
                <c:pt idx="21">
                  <c:v>21.766999999999999</c:v>
                </c:pt>
                <c:pt idx="22">
                  <c:v>4.2629999999999999</c:v>
                </c:pt>
                <c:pt idx="23">
                  <c:v>5.1875</c:v>
                </c:pt>
                <c:pt idx="24">
                  <c:v>3.0825</c:v>
                </c:pt>
                <c:pt idx="25">
                  <c:v>22.638000000000002</c:v>
                </c:pt>
                <c:pt idx="26">
                  <c:v>13.500999999999999</c:v>
                </c:pt>
                <c:pt idx="27">
                  <c:v>7.0467000000000004</c:v>
                </c:pt>
                <c:pt idx="28">
                  <c:v>14.692</c:v>
                </c:pt>
                <c:pt idx="29">
                  <c:v>24.146999999999998</c:v>
                </c:pt>
                <c:pt idx="30">
                  <c:v>-1.22</c:v>
                </c:pt>
                <c:pt idx="31">
                  <c:v>5.9965999999999999</c:v>
                </c:pt>
                <c:pt idx="32">
                  <c:v>12.134</c:v>
                </c:pt>
                <c:pt idx="33">
                  <c:v>1.8494999999999999</c:v>
                </c:pt>
                <c:pt idx="34">
                  <c:v>6.5426000000000002</c:v>
                </c:pt>
                <c:pt idx="35">
                  <c:v>4.5622999999999996</c:v>
                </c:pt>
                <c:pt idx="36">
                  <c:v>4.1163999999999996</c:v>
                </c:pt>
                <c:pt idx="37">
                  <c:v>3.3927999999999998</c:v>
                </c:pt>
                <c:pt idx="38">
                  <c:v>10.117000000000001</c:v>
                </c:pt>
                <c:pt idx="39">
                  <c:v>5.4973999999999998</c:v>
                </c:pt>
                <c:pt idx="40">
                  <c:v>0.55657000000000001</c:v>
                </c:pt>
                <c:pt idx="41">
                  <c:v>3.9115000000000002</c:v>
                </c:pt>
                <c:pt idx="42">
                  <c:v>5.3853999999999997</c:v>
                </c:pt>
                <c:pt idx="43">
                  <c:v>2.4405999999999999</c:v>
                </c:pt>
                <c:pt idx="44">
                  <c:v>6.7317999999999998</c:v>
                </c:pt>
                <c:pt idx="45">
                  <c:v>1.0463</c:v>
                </c:pt>
                <c:pt idx="46">
                  <c:v>5.1337000000000002</c:v>
                </c:pt>
                <c:pt idx="47">
                  <c:v>1.8440000000000001</c:v>
                </c:pt>
                <c:pt idx="48">
                  <c:v>8.0043000000000006</c:v>
                </c:pt>
                <c:pt idx="49">
                  <c:v>1.0179</c:v>
                </c:pt>
                <c:pt idx="50">
                  <c:v>6.7504</c:v>
                </c:pt>
                <c:pt idx="51">
                  <c:v>1.8395999999999999</c:v>
                </c:pt>
                <c:pt idx="52">
                  <c:v>4.2885</c:v>
                </c:pt>
                <c:pt idx="53">
                  <c:v>4.9981</c:v>
                </c:pt>
                <c:pt idx="54">
                  <c:v>1.4233</c:v>
                </c:pt>
                <c:pt idx="55">
                  <c:v>-1.4211</c:v>
                </c:pt>
                <c:pt idx="56">
                  <c:v>2.4756</c:v>
                </c:pt>
                <c:pt idx="57">
                  <c:v>4.6041999999999996</c:v>
                </c:pt>
                <c:pt idx="58">
                  <c:v>3.9624000000000001</c:v>
                </c:pt>
                <c:pt idx="59">
                  <c:v>5.4141000000000004</c:v>
                </c:pt>
                <c:pt idx="60">
                  <c:v>5.1694000000000004</c:v>
                </c:pt>
                <c:pt idx="61">
                  <c:v>-0.74278999999999995</c:v>
                </c:pt>
                <c:pt idx="62">
                  <c:v>17.928999999999998</c:v>
                </c:pt>
                <c:pt idx="63">
                  <c:v>12.054</c:v>
                </c:pt>
                <c:pt idx="64">
                  <c:v>17.053999999999998</c:v>
                </c:pt>
                <c:pt idx="65">
                  <c:v>4.8852000000000002</c:v>
                </c:pt>
                <c:pt idx="66">
                  <c:v>5.7442000000000002</c:v>
                </c:pt>
                <c:pt idx="67">
                  <c:v>7.7754000000000003</c:v>
                </c:pt>
                <c:pt idx="68">
                  <c:v>1.0173000000000001</c:v>
                </c:pt>
                <c:pt idx="69">
                  <c:v>20.992000000000001</c:v>
                </c:pt>
                <c:pt idx="70">
                  <c:v>6.6798999999999999</c:v>
                </c:pt>
                <c:pt idx="71">
                  <c:v>4.0259</c:v>
                </c:pt>
                <c:pt idx="72">
                  <c:v>1.2784</c:v>
                </c:pt>
                <c:pt idx="73">
                  <c:v>3.3411</c:v>
                </c:pt>
                <c:pt idx="74">
                  <c:v>-2.6806999999999999</c:v>
                </c:pt>
                <c:pt idx="75">
                  <c:v>0.29677999999999999</c:v>
                </c:pt>
                <c:pt idx="76">
                  <c:v>3.8845000000000001</c:v>
                </c:pt>
                <c:pt idx="77">
                  <c:v>5.7013999999999996</c:v>
                </c:pt>
                <c:pt idx="78">
                  <c:v>6.7526000000000002</c:v>
                </c:pt>
                <c:pt idx="79">
                  <c:v>2.0575999999999999</c:v>
                </c:pt>
                <c:pt idx="80">
                  <c:v>0.47953000000000001</c:v>
                </c:pt>
                <c:pt idx="81">
                  <c:v>0.20421</c:v>
                </c:pt>
                <c:pt idx="82">
                  <c:v>0.67861000000000005</c:v>
                </c:pt>
                <c:pt idx="83">
                  <c:v>7.5434999999999999</c:v>
                </c:pt>
                <c:pt idx="84">
                  <c:v>5.3436000000000003</c:v>
                </c:pt>
                <c:pt idx="85">
                  <c:v>4.2415000000000003</c:v>
                </c:pt>
                <c:pt idx="86">
                  <c:v>6.7980999999999998</c:v>
                </c:pt>
                <c:pt idx="87">
                  <c:v>0.92695000000000005</c:v>
                </c:pt>
                <c:pt idx="88">
                  <c:v>0.152</c:v>
                </c:pt>
                <c:pt idx="89">
                  <c:v>2.8214000000000001</c:v>
                </c:pt>
                <c:pt idx="90">
                  <c:v>1.8451</c:v>
                </c:pt>
                <c:pt idx="91">
                  <c:v>4.2958999999999996</c:v>
                </c:pt>
                <c:pt idx="92">
                  <c:v>7.2028999999999996</c:v>
                </c:pt>
                <c:pt idx="93">
                  <c:v>1.9869000000000001</c:v>
                </c:pt>
                <c:pt idx="94">
                  <c:v>0.14454</c:v>
                </c:pt>
                <c:pt idx="95">
                  <c:v>9.0550999999999995</c:v>
                </c:pt>
                <c:pt idx="96">
                  <c:v>0.61704999999999999</c:v>
                </c:pt>
              </c:numCache>
            </c:numRef>
          </c:yVal>
          <c:smooth val="0"/>
          <c:extLst>
            <c:ext xmlns:c16="http://schemas.microsoft.com/office/drawing/2014/chart" uri="{C3380CC4-5D6E-409C-BE32-E72D297353CC}">
              <c16:uniqueId val="{00000000-F4C8-44D7-B71D-CDD46F301EAE}"/>
            </c:ext>
          </c:extLst>
        </c:ser>
        <c:dLbls>
          <c:showLegendKey val="0"/>
          <c:showVal val="0"/>
          <c:showCatName val="0"/>
          <c:showSerName val="0"/>
          <c:showPercent val="0"/>
          <c:showBubbleSize val="0"/>
        </c:dLbls>
        <c:axId val="1064215488"/>
        <c:axId val="1064211168"/>
      </c:scatterChart>
      <c:valAx>
        <c:axId val="10642154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4211168"/>
        <c:crosses val="autoZero"/>
        <c:crossBetween val="midCat"/>
      </c:valAx>
      <c:valAx>
        <c:axId val="1064211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42154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578068</xdr:colOff>
      <xdr:row>8</xdr:row>
      <xdr:rowOff>161923</xdr:rowOff>
    </xdr:from>
    <xdr:to>
      <xdr:col>16</xdr:col>
      <xdr:colOff>152399</xdr:colOff>
      <xdr:row>21</xdr:row>
      <xdr:rowOff>111672</xdr:rowOff>
    </xdr:to>
    <xdr:sp macro="" textlink="">
      <xdr:nvSpPr>
        <xdr:cNvPr id="3" name="Text Box 2">
          <a:extLst>
            <a:ext uri="{FF2B5EF4-FFF2-40B4-BE49-F238E27FC236}">
              <a16:creationId xmlns:a16="http://schemas.microsoft.com/office/drawing/2014/main" id="{00000000-0008-0000-0400-000003000000}"/>
            </a:ext>
          </a:extLst>
        </xdr:cNvPr>
        <xdr:cNvSpPr txBox="1">
          <a:spLocks noChangeArrowheads="1"/>
        </xdr:cNvSpPr>
      </xdr:nvSpPr>
      <xdr:spPr bwMode="auto">
        <a:xfrm>
          <a:off x="9999284566" y="1475716"/>
          <a:ext cx="7516210" cy="2097801"/>
        </a:xfrm>
        <a:prstGeom prst="rect">
          <a:avLst/>
        </a:prstGeom>
        <a:solidFill>
          <a:srgbClr val="FFFFFF"/>
        </a:solidFill>
        <a:ln w="9525">
          <a:solidFill>
            <a:srgbClr val="000000"/>
          </a:solidFill>
          <a:miter lim="800000"/>
          <a:headEnd/>
          <a:tailEnd/>
        </a:ln>
      </xdr:spPr>
      <xdr:txBody>
        <a:bodyPr vertOverflow="clip" wrap="square" lIns="0" tIns="27432" rIns="36576" bIns="0" anchor="t" upright="1"/>
        <a:lstStyle/>
        <a:p>
          <a:pPr algn="r" rtl="1">
            <a:defRPr sz="1000"/>
          </a:pPr>
          <a:r>
            <a:rPr lang="he-IL" sz="1400" b="0" i="0" u="none" strike="noStrike" baseline="0">
              <a:solidFill>
                <a:schemeClr val="accent4">
                  <a:lumMod val="75000"/>
                </a:schemeClr>
              </a:solidFill>
              <a:latin typeface="Arial"/>
              <a:cs typeface="Arial"/>
            </a:rPr>
            <a:t>היכן למקם סניף חדש?</a:t>
          </a:r>
        </a:p>
        <a:p>
          <a:pPr algn="r" rtl="1">
            <a:defRPr sz="1000"/>
          </a:pPr>
          <a:r>
            <a:rPr lang="he-IL" sz="1100" b="0" i="0" u="none" strike="noStrike" baseline="0">
              <a:solidFill>
                <a:schemeClr val="tx1"/>
              </a:solidFill>
              <a:latin typeface="Arial"/>
              <a:cs typeface="Arial"/>
            </a:rPr>
            <a:t>רשת "את הכי יפה כשאת לובשת טרנינגים" רוצה לפתוח סניף חדש .</a:t>
          </a:r>
        </a:p>
        <a:p>
          <a:pPr algn="r" rtl="1">
            <a:defRPr sz="1000"/>
          </a:pPr>
          <a:r>
            <a:rPr lang="he-IL" sz="1100" b="0" i="0" u="none" strike="noStrike" baseline="0">
              <a:solidFill>
                <a:schemeClr val="tx1"/>
              </a:solidFill>
              <a:latin typeface="Arial"/>
              <a:cs typeface="Arial"/>
            </a:rPr>
            <a:t>לרשת מידע אודות גודל מרכזי האוכלוסיה בהם ממוקמים הסניפים עד כה וכן נתוני הרווח החודשיים בסניף בהתאם.</a:t>
          </a:r>
        </a:p>
        <a:p>
          <a:pPr algn="r" rtl="1">
            <a:defRPr sz="1000"/>
          </a:pPr>
          <a:endParaRPr lang="he-IL" sz="1100" b="0" i="0" u="none" strike="noStrike" baseline="0">
            <a:solidFill>
              <a:schemeClr val="tx1"/>
            </a:solidFill>
            <a:latin typeface="Arial"/>
            <a:cs typeface="Arial"/>
          </a:endParaRPr>
        </a:p>
        <a:p>
          <a:pPr algn="r" rtl="1">
            <a:defRPr sz="1000"/>
          </a:pPr>
          <a:r>
            <a:rPr lang="he-IL" sz="1100" b="0" i="0" u="none" strike="noStrike" baseline="0">
              <a:solidFill>
                <a:schemeClr val="tx1"/>
              </a:solidFill>
              <a:latin typeface="Arial"/>
              <a:cs typeface="Arial"/>
            </a:rPr>
            <a:t>* באמצעות רגרסיה :</a:t>
          </a:r>
        </a:p>
        <a:p>
          <a:pPr algn="r" rtl="1">
            <a:defRPr sz="1000"/>
          </a:pPr>
          <a:r>
            <a:rPr lang="he-IL" sz="1100" b="0" i="0" u="none" strike="noStrike" baseline="0">
              <a:solidFill>
                <a:schemeClr val="tx1"/>
              </a:solidFill>
              <a:latin typeface="Arial"/>
              <a:cs typeface="Arial"/>
            </a:rPr>
            <a:t>חזו את הרווח הצפוי בישוב נאות שיבולים, בו האוכלוסיה בגודל 35,000 איש?</a:t>
          </a:r>
        </a:p>
        <a:p>
          <a:pPr algn="r" rtl="1">
            <a:defRPr sz="1000"/>
          </a:pPr>
          <a:r>
            <a:rPr lang="he-IL" sz="1100" b="0" i="0" u="none" strike="noStrike" baseline="0">
              <a:solidFill>
                <a:schemeClr val="tx1"/>
              </a:solidFill>
              <a:latin typeface="Arial"/>
              <a:cs typeface="Arial"/>
            </a:rPr>
            <a:t>חזו את הרווח הצפוי בישוב סביוני עומרים, בו האוכלוסיה בגודל 70,000 איש?</a:t>
          </a:r>
        </a:p>
        <a:p>
          <a:pPr algn="r" rtl="1">
            <a:defRPr sz="1000"/>
          </a:pPr>
          <a:endParaRPr lang="he-IL" sz="1100" b="0" i="0" u="none" strike="noStrike" baseline="0">
            <a:solidFill>
              <a:schemeClr val="tx1"/>
            </a:solidFill>
            <a:latin typeface="Arial"/>
            <a:cs typeface="Arial"/>
          </a:endParaRPr>
        </a:p>
        <a:p>
          <a:pPr algn="r" rtl="1">
            <a:defRPr sz="1000"/>
          </a:pPr>
          <a:r>
            <a:rPr lang="he-IL" sz="1100" b="0" i="0" u="none" strike="noStrike" baseline="0">
              <a:solidFill>
                <a:schemeClr val="tx1"/>
              </a:solidFill>
              <a:latin typeface="Arial"/>
              <a:cs typeface="Arial"/>
            </a:rPr>
            <a:t>* ענו על השאלה היכן כדאי לרשת למקם את הסניף החדש? </a:t>
          </a:r>
          <a:endParaRPr lang="en-US" sz="1100" b="0" i="0" u="none" strike="noStrike" baseline="0">
            <a:solidFill>
              <a:schemeClr val="tx1"/>
            </a:solidFill>
            <a:latin typeface="Arial"/>
            <a:cs typeface="Arial"/>
          </a:endParaRPr>
        </a:p>
        <a:p>
          <a:pPr algn="r" rtl="1">
            <a:defRPr sz="1000"/>
          </a:pPr>
          <a:r>
            <a:rPr lang="he-IL" sz="1100" b="0" i="0" u="none" strike="noStrike" baseline="0">
              <a:solidFill>
                <a:schemeClr val="tx1"/>
              </a:solidFill>
              <a:latin typeface="Arial"/>
              <a:cs typeface="Arial"/>
            </a:rPr>
            <a:t>בצעו זאת בשתי הדרכים שנלמדו בכיתה:</a:t>
          </a:r>
          <a:r>
            <a:rPr lang="en-US" sz="1100" b="0" i="0" u="none" strike="noStrike" baseline="0">
              <a:solidFill>
                <a:schemeClr val="tx1"/>
              </a:solidFill>
              <a:latin typeface="Arial"/>
              <a:cs typeface="Arial"/>
            </a:rPr>
            <a:t> </a:t>
          </a:r>
          <a:endParaRPr lang="he-IL" sz="1100" b="0" i="0" u="none" strike="noStrike" baseline="0">
            <a:solidFill>
              <a:schemeClr val="tx1"/>
            </a:solidFill>
            <a:latin typeface="Arial"/>
            <a:cs typeface="Arial"/>
          </a:endParaRPr>
        </a:p>
        <a:p>
          <a:pPr algn="r" rtl="1">
            <a:defRPr sz="1000"/>
          </a:pPr>
          <a:r>
            <a:rPr lang="he-IL" sz="1100" b="0" i="0" u="none" strike="noStrike" baseline="0">
              <a:solidFill>
                <a:schemeClr val="tx1"/>
              </a:solidFill>
              <a:latin typeface="Arial"/>
              <a:cs typeface="Arial"/>
            </a:rPr>
            <a:t>1. בעזרת גרף, בחירה בקו רגרסיה וערך </a:t>
          </a:r>
          <a:r>
            <a:rPr lang="en-US" sz="1100" b="0" i="0" u="none" strike="noStrike" baseline="0">
              <a:solidFill>
                <a:schemeClr val="tx1"/>
              </a:solidFill>
              <a:latin typeface="Arial"/>
              <a:cs typeface="Arial"/>
            </a:rPr>
            <a:t>R</a:t>
          </a:r>
          <a:r>
            <a:rPr lang="he-IL" sz="1100" b="0" i="0" u="none" strike="noStrike" baseline="0">
              <a:solidFill>
                <a:schemeClr val="tx1"/>
              </a:solidFill>
              <a:latin typeface="Arial"/>
              <a:cs typeface="Arial"/>
            </a:rPr>
            <a:t> בריבוע. (מנושא הגרפים) </a:t>
          </a:r>
        </a:p>
        <a:p>
          <a:pPr algn="r" rtl="1">
            <a:defRPr sz="1000"/>
          </a:pPr>
          <a:endParaRPr lang="he-IL" sz="1100" b="0" i="0" u="none" strike="noStrike" baseline="0">
            <a:solidFill>
              <a:schemeClr val="tx1"/>
            </a:solidFill>
            <a:latin typeface="Arial"/>
            <a:cs typeface="Arial"/>
          </a:endParaRPr>
        </a:p>
        <a:p>
          <a:pPr algn="r" rtl="1">
            <a:defRPr sz="1000"/>
          </a:pPr>
          <a:endParaRPr lang="he-IL" sz="1100" b="0" i="0" u="none" strike="noStrike" baseline="0">
            <a:solidFill>
              <a:schemeClr val="tx1"/>
            </a:solidFill>
            <a:latin typeface="Arial"/>
            <a:cs typeface="Arial"/>
          </a:endParaRPr>
        </a:p>
        <a:p>
          <a:pPr algn="r" rtl="1">
            <a:defRPr sz="1000"/>
          </a:pPr>
          <a:endParaRPr lang="he-IL" sz="1100" b="0" i="0" u="none" strike="noStrike" baseline="0">
            <a:solidFill>
              <a:schemeClr val="tx1"/>
            </a:solidFill>
            <a:latin typeface="Arial"/>
            <a:cs typeface="Arial"/>
          </a:endParaRPr>
        </a:p>
      </xdr:txBody>
    </xdr:sp>
    <xdr:clientData/>
  </xdr:twoCellAnchor>
  <xdr:twoCellAnchor>
    <xdr:from>
      <xdr:col>2</xdr:col>
      <xdr:colOff>430266</xdr:colOff>
      <xdr:row>24</xdr:row>
      <xdr:rowOff>152400</xdr:rowOff>
    </xdr:from>
    <xdr:to>
      <xdr:col>10</xdr:col>
      <xdr:colOff>114956</xdr:colOff>
      <xdr:row>41</xdr:row>
      <xdr:rowOff>103789</xdr:rowOff>
    </xdr:to>
    <xdr:graphicFrame macro="">
      <xdr:nvGraphicFramePr>
        <xdr:cNvPr id="2" name="Chart 1">
          <a:extLst>
            <a:ext uri="{FF2B5EF4-FFF2-40B4-BE49-F238E27FC236}">
              <a16:creationId xmlns:a16="http://schemas.microsoft.com/office/drawing/2014/main" id="{2CF7B153-A7F5-4FF3-0F67-A78235634C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1031327</xdr:colOff>
      <xdr:row>44</xdr:row>
      <xdr:rowOff>164223</xdr:rowOff>
    </xdr:from>
    <xdr:to>
      <xdr:col>9</xdr:col>
      <xdr:colOff>604346</xdr:colOff>
      <xdr:row>53</xdr:row>
      <xdr:rowOff>164224</xdr:rowOff>
    </xdr:to>
    <xdr:sp macro="" textlink="">
      <xdr:nvSpPr>
        <xdr:cNvPr id="4" name="TextBox 3">
          <a:extLst>
            <a:ext uri="{FF2B5EF4-FFF2-40B4-BE49-F238E27FC236}">
              <a16:creationId xmlns:a16="http://schemas.microsoft.com/office/drawing/2014/main" id="{1349757C-22AB-45DF-D3AF-55C45F9EFD96}"/>
            </a:ext>
          </a:extLst>
        </xdr:cNvPr>
        <xdr:cNvSpPr txBox="1"/>
      </xdr:nvSpPr>
      <xdr:spPr>
        <a:xfrm>
          <a:off x="10003109016" y="7403223"/>
          <a:ext cx="4887312" cy="14780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1100"/>
            <a:t>So we've got the mathematical</a:t>
          </a:r>
          <a:r>
            <a:rPr lang="en-US" sz="1100" baseline="0"/>
            <a:t> model  </a:t>
          </a:r>
          <a:r>
            <a:rPr lang="en-US" baseline="0">
              <a:effectLst/>
            </a:rPr>
            <a:t>y = 1.193x - 3.8958 wich describes the linear approximation based on given data with coefficient of determinaion  R^2 = 0.702 (the highest from given approximation models)</a:t>
          </a:r>
        </a:p>
        <a:p>
          <a:pPr algn="l" rtl="1"/>
          <a:endParaRPr lang="en-US" sz="1100" baseline="0">
            <a:effectLst/>
          </a:endParaRPr>
        </a:p>
        <a:p>
          <a:pPr algn="l" rtl="1"/>
          <a:r>
            <a:rPr lang="en-US" sz="1100"/>
            <a:t>It</a:t>
          </a:r>
          <a:r>
            <a:rPr lang="en-US" sz="1100" baseline="0"/>
            <a:t> says that we're now able to predict asked values with simple equasion where Y - revenue (dependent variable) and X - population - independent variable </a:t>
          </a:r>
        </a:p>
        <a:p>
          <a:pPr algn="l" rtl="1"/>
          <a:endParaRPr lang="en-US" sz="1100" baseline="0"/>
        </a:p>
        <a:p>
          <a:pPr algn="l" rtl="1"/>
          <a:endParaRPr lang="en-US" sz="1100"/>
        </a:p>
      </xdr:txBody>
    </xdr:sp>
    <xdr:clientData/>
  </xdr:twoCellAnchor>
  <xdr:twoCellAnchor>
    <xdr:from>
      <xdr:col>1</xdr:col>
      <xdr:colOff>1024758</xdr:colOff>
      <xdr:row>62</xdr:row>
      <xdr:rowOff>160284</xdr:rowOff>
    </xdr:from>
    <xdr:to>
      <xdr:col>9</xdr:col>
      <xdr:colOff>598433</xdr:colOff>
      <xdr:row>71</xdr:row>
      <xdr:rowOff>157656</xdr:rowOff>
    </xdr:to>
    <xdr:sp macro="" textlink="">
      <xdr:nvSpPr>
        <xdr:cNvPr id="5" name="TextBox 4">
          <a:extLst>
            <a:ext uri="{FF2B5EF4-FFF2-40B4-BE49-F238E27FC236}">
              <a16:creationId xmlns:a16="http://schemas.microsoft.com/office/drawing/2014/main" id="{A9207973-4F5F-ACC8-2880-FBF0BEE37AB9}"/>
            </a:ext>
          </a:extLst>
        </xdr:cNvPr>
        <xdr:cNvSpPr txBox="1"/>
      </xdr:nvSpPr>
      <xdr:spPr>
        <a:xfrm>
          <a:off x="10003114929" y="10355318"/>
          <a:ext cx="4887968" cy="14753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1100"/>
            <a:t>We</a:t>
          </a:r>
          <a:r>
            <a:rPr lang="en-US" sz="1100" baseline="0"/>
            <a:t> have one (may be not only one but the only tha im awared of) way to calculate linear approximation and use it comfortably in future.</a:t>
          </a:r>
        </a:p>
        <a:p>
          <a:pPr algn="l" rtl="1"/>
          <a:endParaRPr lang="en-US" sz="1100" baseline="0"/>
        </a:p>
        <a:p>
          <a:pPr algn="l" rtl="1"/>
          <a:r>
            <a:rPr lang="en-US" sz="1100" baseline="0"/>
            <a:t> fucnction LINEST based on given set of known y_s (profit) and known (x_s) ought to return wanted coefficients of linear approcimation (but without c. of determitaion as it seems)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342900</xdr:colOff>
      <xdr:row>26</xdr:row>
      <xdr:rowOff>85726</xdr:rowOff>
    </xdr:from>
    <xdr:to>
      <xdr:col>14</xdr:col>
      <xdr:colOff>295275</xdr:colOff>
      <xdr:row>37</xdr:row>
      <xdr:rowOff>104775</xdr:rowOff>
    </xdr:to>
    <xdr:sp macro="" textlink="">
      <xdr:nvSpPr>
        <xdr:cNvPr id="2" name="Text Box 2">
          <a:extLst>
            <a:ext uri="{FF2B5EF4-FFF2-40B4-BE49-F238E27FC236}">
              <a16:creationId xmlns:a16="http://schemas.microsoft.com/office/drawing/2014/main" id="{00000000-0008-0000-0000-000002000000}"/>
            </a:ext>
          </a:extLst>
        </xdr:cNvPr>
        <xdr:cNvSpPr txBox="1">
          <a:spLocks noChangeArrowheads="1"/>
        </xdr:cNvSpPr>
      </xdr:nvSpPr>
      <xdr:spPr bwMode="auto">
        <a:xfrm>
          <a:off x="9978856725" y="4324351"/>
          <a:ext cx="7200900" cy="1800224"/>
        </a:xfrm>
        <a:prstGeom prst="rect">
          <a:avLst/>
        </a:prstGeom>
        <a:solidFill>
          <a:srgbClr val="FFFFFF"/>
        </a:solidFill>
        <a:ln w="9525">
          <a:solidFill>
            <a:srgbClr val="000000"/>
          </a:solidFill>
          <a:miter lim="800000"/>
          <a:headEnd/>
          <a:tailEnd/>
        </a:ln>
      </xdr:spPr>
      <xdr:txBody>
        <a:bodyPr vertOverflow="clip" wrap="square" lIns="0" tIns="27432" rIns="36576" bIns="0" anchor="t" upright="1"/>
        <a:lstStyle/>
        <a:p>
          <a:pPr algn="r" rtl="1">
            <a:defRPr sz="1000"/>
          </a:pPr>
          <a:r>
            <a:rPr lang="he-IL" sz="1400" b="0" i="0" u="none" strike="noStrike" baseline="0">
              <a:solidFill>
                <a:srgbClr val="800000"/>
              </a:solidFill>
              <a:latin typeface="Arial"/>
              <a:cs typeface="Arial"/>
            </a:rPr>
            <a:t>עיצוב מותנה</a:t>
          </a:r>
        </a:p>
        <a:p>
          <a:pPr algn="r" rtl="1">
            <a:defRPr sz="1000"/>
          </a:pPr>
          <a:endParaRPr lang="he-IL" sz="1000" b="0" i="0" u="none" strike="noStrike" baseline="0">
            <a:solidFill>
              <a:srgbClr val="000000"/>
            </a:solidFill>
            <a:latin typeface="Arial"/>
            <a:cs typeface="Arial"/>
          </a:endParaRPr>
        </a:p>
        <a:p>
          <a:pPr algn="r" rtl="1">
            <a:defRPr sz="1000"/>
          </a:pPr>
          <a:r>
            <a:rPr lang="he-IL" sz="1400" b="0" i="0" u="sng" strike="noStrike" baseline="0">
              <a:solidFill>
                <a:srgbClr val="000000"/>
              </a:solidFill>
              <a:latin typeface="Arial"/>
              <a:cs typeface="Arial"/>
            </a:rPr>
            <a:t>תרגילים</a:t>
          </a:r>
          <a:endParaRPr lang="he-IL" sz="1000" b="0" i="0" u="none" strike="noStrike" baseline="0">
            <a:solidFill>
              <a:srgbClr val="000000"/>
            </a:solidFill>
            <a:latin typeface="Arial"/>
            <a:cs typeface="Arial"/>
          </a:endParaRPr>
        </a:p>
        <a:p>
          <a:pPr algn="r" rtl="1">
            <a:defRPr sz="1000"/>
          </a:pPr>
          <a:endParaRPr lang="he-IL" sz="1000" b="1" i="0" u="none" strike="noStrike" baseline="0">
            <a:solidFill>
              <a:srgbClr val="000000"/>
            </a:solidFill>
            <a:latin typeface="Arial"/>
            <a:cs typeface="Arial"/>
          </a:endParaRPr>
        </a:p>
        <a:p>
          <a:pPr algn="r" rtl="1">
            <a:defRPr sz="1000"/>
          </a:pPr>
          <a:r>
            <a:rPr lang="he-IL" sz="1050" b="0" i="0" u="none" strike="noStrike" baseline="0">
              <a:solidFill>
                <a:srgbClr val="000000"/>
              </a:solidFill>
              <a:latin typeface="Arial"/>
              <a:cs typeface="Arial"/>
            </a:rPr>
            <a:t>1. צבעו את עמודת הטמפרטורה באמצעות החלה של 3 תנאים של עיצוב מותנה, באופן הבא: ערכים החל מ-35 מעלות יהיו אדומים, ערכים מתחת ל-20 מעלות יהיו עם רקע תכלת וטקסט מודגש, וערכים בטווח שבין 20 מעלות ל-35 מעלות יהיו ירוקים.</a:t>
          </a:r>
        </a:p>
        <a:p>
          <a:pPr algn="r" rtl="1">
            <a:defRPr sz="1000"/>
          </a:pPr>
          <a:r>
            <a:rPr lang="he-IL" sz="1050" b="0" i="0" u="none" strike="noStrike" baseline="0">
              <a:solidFill>
                <a:srgbClr val="000000"/>
              </a:solidFill>
              <a:latin typeface="Arial"/>
              <a:cs typeface="Arial"/>
            </a:rPr>
            <a:t>2. </a:t>
          </a:r>
          <a:r>
            <a:rPr lang="he-IL" sz="1050" b="0" i="0" baseline="0">
              <a:effectLst/>
              <a:latin typeface="+mn-lt"/>
              <a:ea typeface="+mn-ea"/>
              <a:cs typeface="+mn-cs"/>
            </a:rPr>
            <a:t>צבעו את עמודת הטמפרטורה באמצעות סרגל צבעים של אדום-לבן-כחול. שאלו את עצמכם מדוע נצבע כל תא בצבע בו הוא נצבע.</a:t>
          </a:r>
        </a:p>
        <a:p>
          <a:pPr algn="r" rtl="1">
            <a:defRPr sz="1000"/>
          </a:pPr>
          <a:r>
            <a:rPr lang="he-IL" sz="1050" b="0" i="0" u="none" strike="noStrike" baseline="0">
              <a:solidFill>
                <a:srgbClr val="000000"/>
              </a:solidFill>
              <a:effectLst/>
              <a:latin typeface="+mn-lt"/>
              <a:ea typeface="+mn-ea"/>
              <a:cs typeface="+mn-cs"/>
            </a:rPr>
            <a:t>3. בעמודת הטמפרטורה, צבעו את 10 הערכים העליונים כך שהטקסט יהיה אדום.</a:t>
          </a:r>
          <a:endParaRPr lang="he-IL" sz="1050" b="0" i="0" u="none" strike="noStrike" baseline="0">
            <a:solidFill>
              <a:srgbClr val="000000"/>
            </a:solidFill>
            <a:latin typeface="Arial"/>
            <a:cs typeface="Arial"/>
          </a:endParaRPr>
        </a:p>
        <a:p>
          <a:pPr algn="r" rtl="1">
            <a:defRPr sz="1000"/>
          </a:pPr>
          <a:r>
            <a:rPr lang="he-IL" sz="1050" b="0" i="0" u="none" strike="noStrike" baseline="0">
              <a:solidFill>
                <a:srgbClr val="000000"/>
              </a:solidFill>
              <a:latin typeface="Arial"/>
              <a:cs typeface="Arial"/>
            </a:rPr>
            <a:t>4. בעמודת הטמפרטורה, הוסיפו ערכת סמלים כיוונית של 3 משולשים.</a:t>
          </a:r>
        </a:p>
        <a:p>
          <a:pPr algn="r" rtl="1">
            <a:defRPr sz="1000"/>
          </a:pPr>
          <a:r>
            <a:rPr lang="he-IL" sz="1050" b="0" i="0" u="none" strike="noStrike" baseline="0">
              <a:solidFill>
                <a:srgbClr val="000000"/>
              </a:solidFill>
              <a:latin typeface="Arial"/>
              <a:cs typeface="Arial"/>
            </a:rPr>
            <a:t>5. </a:t>
          </a:r>
          <a:r>
            <a:rPr lang="he-IL" sz="1050" b="0" i="0" baseline="0">
              <a:effectLst/>
              <a:latin typeface="+mn-lt"/>
              <a:ea typeface="+mn-ea"/>
              <a:cs typeface="+mn-cs"/>
            </a:rPr>
            <a:t>בעמודת הטמפרטורה, הוסיפו עיצוב מותנה של סרגל כלים במילוי הדרגתי או מלא, לבחירתכם.</a:t>
          </a:r>
          <a:endParaRPr lang="he-IL" sz="1050" b="0" i="0" u="none" strike="noStrike" baseline="0">
            <a:solidFill>
              <a:srgbClr val="000000"/>
            </a:solidFill>
            <a:latin typeface="Arial"/>
            <a:cs typeface="Arial"/>
          </a:endParaRPr>
        </a:p>
        <a:p>
          <a:pPr algn="r" rtl="1">
            <a:defRPr sz="1000"/>
          </a:pPr>
          <a:endParaRPr lang="he-IL" sz="1000" b="0" i="0" u="none" strike="noStrike" baseline="0">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600075</xdr:colOff>
      <xdr:row>24</xdr:row>
      <xdr:rowOff>85725</xdr:rowOff>
    </xdr:from>
    <xdr:to>
      <xdr:col>14</xdr:col>
      <xdr:colOff>1009650</xdr:colOff>
      <xdr:row>35</xdr:row>
      <xdr:rowOff>66675</xdr:rowOff>
    </xdr:to>
    <xdr:sp macro="" textlink="">
      <xdr:nvSpPr>
        <xdr:cNvPr id="25601" name="Text Box 1">
          <a:extLst>
            <a:ext uri="{FF2B5EF4-FFF2-40B4-BE49-F238E27FC236}">
              <a16:creationId xmlns:a16="http://schemas.microsoft.com/office/drawing/2014/main" id="{00000000-0008-0000-0000-000001640000}"/>
            </a:ext>
          </a:extLst>
        </xdr:cNvPr>
        <xdr:cNvSpPr txBox="1">
          <a:spLocks noChangeArrowheads="1"/>
        </xdr:cNvSpPr>
      </xdr:nvSpPr>
      <xdr:spPr bwMode="auto">
        <a:xfrm>
          <a:off x="9981085575" y="3971925"/>
          <a:ext cx="5676900" cy="1762125"/>
        </a:xfrm>
        <a:prstGeom prst="rect">
          <a:avLst/>
        </a:prstGeom>
        <a:solidFill>
          <a:srgbClr val="FFFFFF"/>
        </a:solidFill>
        <a:ln w="9525">
          <a:solidFill>
            <a:srgbClr val="000000"/>
          </a:solidFill>
          <a:miter lim="800000"/>
          <a:headEnd/>
          <a:tailEnd/>
        </a:ln>
      </xdr:spPr>
      <xdr:txBody>
        <a:bodyPr vertOverflow="clip" wrap="square" lIns="0" tIns="27432" rIns="36576" bIns="0" anchor="t" upright="1"/>
        <a:lstStyle/>
        <a:p>
          <a:pPr algn="r" rtl="1">
            <a:defRPr sz="1000"/>
          </a:pPr>
          <a:r>
            <a:rPr lang="he-IL" sz="1400" b="0" i="0" u="none" strike="noStrike" baseline="0">
              <a:solidFill>
                <a:srgbClr val="800000"/>
              </a:solidFill>
              <a:latin typeface="Arial"/>
              <a:cs typeface="Arial"/>
            </a:rPr>
            <a:t>טבלת ציר</a:t>
          </a:r>
        </a:p>
        <a:p>
          <a:pPr algn="r" rtl="1">
            <a:defRPr sz="1000"/>
          </a:pPr>
          <a:endParaRPr lang="he-IL" sz="1000" b="0" i="0" u="none" strike="noStrike" baseline="0">
            <a:solidFill>
              <a:srgbClr val="000000"/>
            </a:solidFill>
            <a:latin typeface="Arial"/>
            <a:cs typeface="Arial"/>
          </a:endParaRPr>
        </a:p>
        <a:p>
          <a:pPr algn="r" rtl="1">
            <a:defRPr sz="1000"/>
          </a:pPr>
          <a:r>
            <a:rPr lang="he-IL" sz="1000" b="1" i="0" u="sng" strike="noStrike" baseline="0">
              <a:solidFill>
                <a:srgbClr val="000000"/>
              </a:solidFill>
              <a:latin typeface="Arial"/>
              <a:cs typeface="Arial"/>
            </a:rPr>
            <a:t>ציר</a:t>
          </a:r>
          <a:r>
            <a:rPr lang="he-IL" sz="1000" b="0" i="0" u="none" strike="noStrike" baseline="0">
              <a:solidFill>
                <a:srgbClr val="000000"/>
              </a:solidFill>
              <a:latin typeface="Arial"/>
              <a:cs typeface="Arial"/>
            </a:rPr>
            <a:t> - מימד בטבלת ציר כגון עמודה, שורה או עמוד.</a:t>
          </a:r>
        </a:p>
        <a:p>
          <a:pPr algn="r" rtl="1">
            <a:defRPr sz="1000"/>
          </a:pPr>
          <a:r>
            <a:rPr lang="he-IL" sz="1000" b="1" i="0" u="sng" strike="noStrike" baseline="0">
              <a:solidFill>
                <a:srgbClr val="000000"/>
              </a:solidFill>
              <a:latin typeface="Arial"/>
              <a:cs typeface="Arial"/>
            </a:rPr>
            <a:t>מקור נתונים</a:t>
          </a:r>
          <a:r>
            <a:rPr lang="he-IL" sz="1000" b="0" i="0" u="none" strike="noStrike" baseline="0">
              <a:solidFill>
                <a:srgbClr val="000000"/>
              </a:solidFill>
              <a:latin typeface="Arial"/>
              <a:cs typeface="Arial"/>
            </a:rPr>
            <a:t> - רשימה או טבלה ממנה מופקת טבלת ציר.</a:t>
          </a:r>
        </a:p>
        <a:p>
          <a:pPr algn="r" rtl="1">
            <a:defRPr sz="1000"/>
          </a:pPr>
          <a:r>
            <a:rPr lang="he-IL" sz="1000" b="1" i="0" u="sng" strike="noStrike" baseline="0">
              <a:solidFill>
                <a:srgbClr val="000000"/>
              </a:solidFill>
              <a:latin typeface="Arial"/>
              <a:cs typeface="Arial"/>
            </a:rPr>
            <a:t>שדה</a:t>
          </a:r>
          <a:r>
            <a:rPr lang="he-IL" sz="1000" b="0" i="0" u="none" strike="noStrike" baseline="0">
              <a:solidFill>
                <a:srgbClr val="000000"/>
              </a:solidFill>
              <a:latin typeface="Arial"/>
              <a:cs typeface="Arial"/>
            </a:rPr>
            <a:t> - קטגורית מידע המקבילה לעמודה ברשימה.</a:t>
          </a:r>
        </a:p>
        <a:p>
          <a:pPr algn="r" rtl="1">
            <a:defRPr sz="1000"/>
          </a:pPr>
          <a:r>
            <a:rPr lang="he-IL" sz="1000" b="1" i="0" u="sng" strike="noStrike" baseline="0">
              <a:solidFill>
                <a:srgbClr val="000000"/>
              </a:solidFill>
              <a:latin typeface="Arial"/>
              <a:cs typeface="Arial"/>
            </a:rPr>
            <a:t>כותרת שדה </a:t>
          </a:r>
          <a:r>
            <a:rPr lang="he-IL" sz="1000" b="0" i="0" u="none" strike="noStrike" baseline="0">
              <a:solidFill>
                <a:srgbClr val="000000"/>
              </a:solidFill>
              <a:latin typeface="Arial"/>
              <a:cs typeface="Arial"/>
            </a:rPr>
            <a:t>- תווית המתארת את תוכן השדה. ניתן לסובב טבלת ציר ע"י גרירת כותרות השדות.</a:t>
          </a:r>
        </a:p>
        <a:p>
          <a:pPr algn="r" rtl="1">
            <a:defRPr sz="1000"/>
          </a:pPr>
          <a:r>
            <a:rPr lang="he-IL" sz="1000" b="1" i="0" u="sng" strike="noStrike" baseline="0">
              <a:solidFill>
                <a:srgbClr val="000000"/>
              </a:solidFill>
              <a:latin typeface="Arial"/>
              <a:cs typeface="Arial"/>
            </a:rPr>
            <a:t>פריט</a:t>
          </a:r>
          <a:r>
            <a:rPr lang="he-IL" sz="1000" b="0" i="0" u="none" strike="noStrike" baseline="0">
              <a:solidFill>
                <a:srgbClr val="000000"/>
              </a:solidFill>
              <a:latin typeface="Arial"/>
              <a:cs typeface="Arial"/>
            </a:rPr>
            <a:t> - מרכיב בשדה.</a:t>
          </a:r>
        </a:p>
        <a:p>
          <a:pPr algn="r" rtl="1">
            <a:defRPr sz="1000"/>
          </a:pPr>
          <a:r>
            <a:rPr lang="he-IL" sz="1000" b="1" i="0" u="sng" strike="noStrike" baseline="0">
              <a:solidFill>
                <a:srgbClr val="000000"/>
              </a:solidFill>
              <a:latin typeface="Arial"/>
              <a:cs typeface="Arial"/>
            </a:rPr>
            <a:t>פונקציית סיכום</a:t>
          </a:r>
          <a:r>
            <a:rPr lang="he-IL" sz="1000" b="0" i="0" u="none" strike="noStrike" baseline="0">
              <a:solidFill>
                <a:srgbClr val="000000"/>
              </a:solidFill>
              <a:latin typeface="Arial"/>
              <a:cs typeface="Arial"/>
            </a:rPr>
            <a:t> - פונקציית הגיליון בה משתמשת התוכנה כדי לחשב ערכים בגוף הטבלה. פונקציית ברירת המחדל עבור ערכים מספריים היא </a:t>
          </a:r>
          <a:r>
            <a:rPr lang="en-US" sz="1000" b="0" i="0" u="none" strike="noStrike" baseline="0">
              <a:solidFill>
                <a:srgbClr val="000000"/>
              </a:solidFill>
              <a:latin typeface="Arial"/>
              <a:cs typeface="Arial"/>
            </a:rPr>
            <a:t>SUM </a:t>
          </a:r>
          <a:r>
            <a:rPr lang="he-IL" sz="1000" b="0" i="0" u="none" strike="noStrike" baseline="0">
              <a:solidFill>
                <a:srgbClr val="000000"/>
              </a:solidFill>
              <a:latin typeface="Arial"/>
              <a:cs typeface="Arial"/>
            </a:rPr>
            <a:t> ועבור ערכי טקסט היא </a:t>
          </a:r>
          <a:r>
            <a:rPr lang="en-US" sz="1000" b="0" i="0" u="none" strike="noStrike" baseline="0">
              <a:solidFill>
                <a:srgbClr val="000000"/>
              </a:solidFill>
              <a:latin typeface="Arial"/>
              <a:cs typeface="Arial"/>
            </a:rPr>
            <a:t>COUNT</a:t>
          </a:r>
          <a:r>
            <a:rPr lang="he-IL" sz="1000" b="0" i="0" u="none" strike="noStrike" baseline="0">
              <a:solidFill>
                <a:srgbClr val="000000"/>
              </a:solidFill>
              <a:latin typeface="Arial"/>
              <a:cs typeface="Arial"/>
            </a:rPr>
            <a:t>.</a:t>
          </a:r>
          <a:endParaRPr lang="en-US" sz="1000" b="0" i="0" u="none" strike="noStrike" baseline="0">
            <a:solidFill>
              <a:srgbClr val="000000"/>
            </a:solidFill>
            <a:latin typeface="Arial"/>
            <a:cs typeface="Arial"/>
          </a:endParaRPr>
        </a:p>
        <a:p>
          <a:pPr algn="r" rtl="1">
            <a:defRPr sz="1000"/>
          </a:pPr>
          <a:endParaRPr lang="en-US" sz="1000" b="0" i="0" u="none" strike="noStrike" baseline="0">
            <a:solidFill>
              <a:srgbClr val="000000"/>
            </a:solidFill>
            <a:latin typeface="Arial"/>
            <a:cs typeface="Arial"/>
          </a:endParaRPr>
        </a:p>
      </xdr:txBody>
    </xdr:sp>
    <xdr:clientData/>
  </xdr:twoCellAnchor>
  <xdr:twoCellAnchor>
    <xdr:from>
      <xdr:col>6</xdr:col>
      <xdr:colOff>419100</xdr:colOff>
      <xdr:row>0</xdr:row>
      <xdr:rowOff>152399</xdr:rowOff>
    </xdr:from>
    <xdr:to>
      <xdr:col>15</xdr:col>
      <xdr:colOff>685800</xdr:colOff>
      <xdr:row>23</xdr:row>
      <xdr:rowOff>133349</xdr:rowOff>
    </xdr:to>
    <xdr:sp macro="" textlink="">
      <xdr:nvSpPr>
        <xdr:cNvPr id="25602" name="Text Box 2">
          <a:extLst>
            <a:ext uri="{FF2B5EF4-FFF2-40B4-BE49-F238E27FC236}">
              <a16:creationId xmlns:a16="http://schemas.microsoft.com/office/drawing/2014/main" id="{00000000-0008-0000-0000-000002640000}"/>
            </a:ext>
          </a:extLst>
        </xdr:cNvPr>
        <xdr:cNvSpPr txBox="1">
          <a:spLocks noChangeArrowheads="1"/>
        </xdr:cNvSpPr>
      </xdr:nvSpPr>
      <xdr:spPr bwMode="auto">
        <a:xfrm>
          <a:off x="9980295000" y="152399"/>
          <a:ext cx="6648450" cy="3705225"/>
        </a:xfrm>
        <a:prstGeom prst="rect">
          <a:avLst/>
        </a:prstGeom>
        <a:solidFill>
          <a:srgbClr val="FFFFFF"/>
        </a:solidFill>
        <a:ln w="9525">
          <a:solidFill>
            <a:srgbClr val="000000"/>
          </a:solidFill>
          <a:miter lim="800000"/>
          <a:headEnd/>
          <a:tailEnd/>
        </a:ln>
      </xdr:spPr>
      <xdr:txBody>
        <a:bodyPr vertOverflow="clip" wrap="square" lIns="0" tIns="27432" rIns="36576" bIns="0" anchor="t" upright="1"/>
        <a:lstStyle/>
        <a:p>
          <a:pPr algn="r" rtl="1">
            <a:defRPr sz="1000"/>
          </a:pPr>
          <a:r>
            <a:rPr lang="he-IL" sz="1400" b="0" i="0" u="none" strike="noStrike" baseline="0">
              <a:solidFill>
                <a:srgbClr val="800000"/>
              </a:solidFill>
              <a:latin typeface="Arial"/>
              <a:cs typeface="Arial"/>
            </a:rPr>
            <a:t>יצירת טבלת ציר</a:t>
          </a:r>
        </a:p>
        <a:p>
          <a:pPr algn="r" rtl="1">
            <a:defRPr sz="1000"/>
          </a:pPr>
          <a:r>
            <a:rPr lang="he-IL" sz="1000" b="0" i="0" u="none" strike="noStrike" baseline="0">
              <a:solidFill>
                <a:srgbClr val="000000"/>
              </a:solidFill>
              <a:latin typeface="Arial"/>
              <a:cs typeface="Arial"/>
            </a:rPr>
            <a:t>מטרתה של היישום השימושי מאד "טבלת ציר" הוא לסכם מידע משדות מסוימים של רשימה או מסד נתונים באופן בו המשתמש מעוניין. כמו כן ניתן לארגן את הנתונים ולבצע חישובים. הטבלה מקושרת אל הנתונים מהן היא נבנתה. אולם שינוי מקור הנתונים לא משנה את את הטבלה באופן אוטומטי, והעדכון נעשה באמצעות ריענון הטבלה.</a:t>
          </a:r>
          <a:endParaRPr lang="he-IL" sz="1400" b="0" i="0" u="none" strike="noStrike" baseline="0">
            <a:solidFill>
              <a:srgbClr val="800000"/>
            </a:solidFill>
            <a:latin typeface="Arial"/>
            <a:cs typeface="Arial"/>
          </a:endParaRPr>
        </a:p>
        <a:p>
          <a:pPr algn="r" rtl="1">
            <a:defRPr sz="1000"/>
          </a:pP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מארגני חוגים לילדים מעוניינים לקבל פירוט של הרווחים עבור כל סוג חוג בחלוקה לאיזורים ובאופן כללי.  לצורך כך צרו טבלת ציר.</a:t>
          </a:r>
        </a:p>
        <a:p>
          <a:pPr algn="r" rtl="1">
            <a:defRPr sz="1000"/>
          </a:pPr>
          <a:r>
            <a:rPr lang="he-IL" sz="1000" b="0" i="0" u="none" strike="noStrike" baseline="0">
              <a:solidFill>
                <a:srgbClr val="000000"/>
              </a:solidFill>
              <a:latin typeface="Arial"/>
              <a:cs typeface="Arial"/>
            </a:rPr>
            <a:t>ליצירת טבלת ציר בתפריט נתונים בחרו באופציה </a:t>
          </a:r>
          <a:r>
            <a:rPr lang="en-US" sz="1000" b="0" i="0" u="none" strike="noStrike" baseline="0">
              <a:solidFill>
                <a:srgbClr val="000000"/>
              </a:solidFill>
              <a:latin typeface="Arial"/>
              <a:cs typeface="Arial"/>
            </a:rPr>
            <a:t>insert</a:t>
          </a:r>
          <a:r>
            <a:rPr lang="he-IL" sz="1000" b="0" i="0" u="none" strike="noStrike" baseline="0">
              <a:solidFill>
                <a:srgbClr val="000000"/>
              </a:solidFill>
              <a:latin typeface="Arial"/>
              <a:cs typeface="Arial"/>
            </a:rPr>
            <a:t>&gt;</a:t>
          </a:r>
          <a:r>
            <a:rPr lang="en-US" sz="1000" b="0" i="0" u="none" strike="noStrike" baseline="0">
              <a:solidFill>
                <a:srgbClr val="000000"/>
              </a:solidFill>
              <a:latin typeface="Arial"/>
              <a:cs typeface="Arial"/>
            </a:rPr>
            <a:t>PivotTableReport</a:t>
          </a:r>
        </a:p>
        <a:p>
          <a:pPr algn="r" rtl="1">
            <a:defRPr sz="1000"/>
          </a:pPr>
          <a:r>
            <a:rPr lang="he-IL" sz="1000" b="0" i="0" u="none" strike="noStrike" baseline="0">
              <a:solidFill>
                <a:srgbClr val="000000"/>
              </a:solidFill>
              <a:latin typeface="Arial"/>
              <a:cs typeface="Arial"/>
            </a:rPr>
            <a:t>1. השאירו את סוג מקור הנתונים כרשימה או מסד נתונים של </a:t>
          </a:r>
          <a:r>
            <a:rPr lang="en-US" sz="1000" b="0" i="0" u="none" strike="noStrike" baseline="0">
              <a:solidFill>
                <a:srgbClr val="000000"/>
              </a:solidFill>
              <a:latin typeface="Arial"/>
              <a:cs typeface="Arial"/>
            </a:rPr>
            <a:t>Microsoft Excel</a:t>
          </a:r>
          <a:r>
            <a:rPr lang="he-IL" sz="1000" b="0" i="0" u="none" strike="noStrike" baseline="0">
              <a:solidFill>
                <a:srgbClr val="000000"/>
              </a:solidFill>
              <a:latin typeface="Arial"/>
              <a:cs typeface="Arial"/>
            </a:rPr>
            <a:t> </a:t>
          </a:r>
          <a:r>
            <a:rPr lang="en-US" sz="1000" b="0" i="0" u="none" strike="noStrike" baseline="0">
              <a:solidFill>
                <a:srgbClr val="000000"/>
              </a:solidFill>
              <a:latin typeface="Arial"/>
              <a:cs typeface="Arial"/>
            </a:rPr>
            <a:t>. </a:t>
          </a:r>
          <a:r>
            <a:rPr lang="he-IL" sz="1000" b="0" i="0" u="none" strike="noStrike" baseline="0">
              <a:solidFill>
                <a:srgbClr val="000000"/>
              </a:solidFill>
              <a:latin typeface="Arial"/>
              <a:cs typeface="Arial"/>
            </a:rPr>
            <a:t> </a:t>
          </a:r>
        </a:p>
        <a:p>
          <a:pPr algn="r" rtl="1">
            <a:defRPr sz="1000"/>
          </a:pPr>
          <a:r>
            <a:rPr lang="he-IL" sz="1000" b="0" i="0" u="none" strike="noStrike" baseline="0">
              <a:solidFill>
                <a:srgbClr val="000000"/>
              </a:solidFill>
              <a:latin typeface="Arial"/>
              <a:cs typeface="Arial"/>
            </a:rPr>
            <a:t>2. טווח הנתונים הוא הטבלה שנמצאת בגיליון הבא:"נתונים לטבלת ציר". סמנו את כל הנתונים, כולל הכותרות ולחצו על </a:t>
          </a:r>
          <a:r>
            <a:rPr lang="en-US" sz="1000" b="0" i="0" u="none" strike="noStrike" baseline="0">
              <a:solidFill>
                <a:srgbClr val="000000"/>
              </a:solidFill>
              <a:latin typeface="Arial"/>
              <a:cs typeface="Arial"/>
            </a:rPr>
            <a:t>ok</a:t>
          </a:r>
          <a:r>
            <a:rPr lang="he-IL" sz="1000" b="1" i="0" u="none" strike="noStrike" baseline="0">
              <a:solidFill>
                <a:srgbClr val="000000"/>
              </a:solidFill>
              <a:latin typeface="Arial"/>
              <a:cs typeface="Arial"/>
            </a:rPr>
            <a:t>.</a:t>
          </a: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3. נפתח חלון משמאל, שם אפשר לבחור אילו עמודות ושורות יופיעו בטבלה שלכם. למשל, אם ברצוננו לראות עבור כל חוג את הסכום אותו הוציאו המשפחות באזורים שונים בארץ:</a:t>
          </a:r>
        </a:p>
        <a:p>
          <a:pPr algn="r" rtl="1">
            <a:defRPr sz="1000"/>
          </a:pPr>
          <a:r>
            <a:rPr lang="he-IL" sz="1000" b="0" i="0" u="none" strike="noStrike" baseline="0">
              <a:solidFill>
                <a:srgbClr val="000000"/>
              </a:solidFill>
              <a:latin typeface="Arial"/>
              <a:cs typeface="Arial"/>
            </a:rPr>
            <a:t>עבור השורה יש לבחור את  "שם החוג".</a:t>
          </a:r>
        </a:p>
        <a:p>
          <a:pPr algn="r" rtl="1">
            <a:defRPr sz="1000"/>
          </a:pPr>
          <a:r>
            <a:rPr lang="he-IL" sz="1000" b="0" i="0" u="none" strike="noStrike" baseline="0">
              <a:solidFill>
                <a:srgbClr val="000000"/>
              </a:solidFill>
              <a:latin typeface="Arial"/>
              <a:cs typeface="Arial"/>
            </a:rPr>
            <a:t>עבור העמודה יש לבחור את "אזור".</a:t>
          </a:r>
        </a:p>
        <a:p>
          <a:pPr algn="r" rtl="1">
            <a:defRPr sz="1000"/>
          </a:pPr>
          <a:r>
            <a:rPr lang="he-IL" sz="1000" b="0" i="0" u="none" strike="noStrike" baseline="0">
              <a:solidFill>
                <a:srgbClr val="000000"/>
              </a:solidFill>
              <a:latin typeface="Arial"/>
              <a:cs typeface="Arial"/>
            </a:rPr>
            <a:t>את הלחצן "תשלום" יש לגרור לאזור הנתונים שכן זהו השדה שאותו יש לסכם. בסיום התהליך יש ללחוץ על </a:t>
          </a:r>
          <a:r>
            <a:rPr lang="he-IL" sz="1000" b="1" i="0" u="none" strike="noStrike" baseline="0">
              <a:solidFill>
                <a:srgbClr val="000000"/>
              </a:solidFill>
              <a:latin typeface="Arial"/>
              <a:cs typeface="Arial"/>
            </a:rPr>
            <a:t>הבא </a:t>
          </a:r>
          <a:r>
            <a:rPr lang="he-IL" sz="1000" b="0" i="0" u="none" strike="noStrike" baseline="0">
              <a:solidFill>
                <a:srgbClr val="000000"/>
              </a:solidFill>
              <a:latin typeface="Arial"/>
              <a:cs typeface="Arial"/>
            </a:rPr>
            <a:t>ובתיבת הדו-שיח האחרונה על</a:t>
          </a:r>
          <a:r>
            <a:rPr lang="he-IL" sz="1000" b="1" i="0" u="none" strike="noStrike" baseline="0">
              <a:solidFill>
                <a:srgbClr val="000000"/>
              </a:solidFill>
              <a:latin typeface="Arial"/>
              <a:cs typeface="Arial"/>
            </a:rPr>
            <a:t> סיום.</a:t>
          </a:r>
        </a:p>
        <a:p>
          <a:pPr algn="r" rtl="1">
            <a:defRPr sz="1000"/>
          </a:pPr>
          <a:endParaRPr lang="he-IL" sz="1000" b="0" i="0" u="none" strike="noStrike" baseline="0">
            <a:solidFill>
              <a:srgbClr val="000000"/>
            </a:solidFill>
            <a:latin typeface="Arial"/>
            <a:cs typeface="Arial"/>
          </a:endParaRPr>
        </a:p>
        <a:p>
          <a:pPr algn="r" rtl="1">
            <a:defRPr sz="1000"/>
          </a:pPr>
          <a:r>
            <a:rPr lang="he-IL" sz="1400" b="0" i="0" u="sng" strike="noStrike" baseline="0">
              <a:solidFill>
                <a:srgbClr val="000000"/>
              </a:solidFill>
              <a:latin typeface="Arial"/>
              <a:cs typeface="Arial"/>
            </a:rPr>
            <a:t>תרגילים</a:t>
          </a:r>
          <a:endParaRPr lang="he-IL" sz="1000" b="0" i="0" u="none" strike="noStrike" baseline="0">
            <a:solidFill>
              <a:srgbClr val="000000"/>
            </a:solidFill>
            <a:latin typeface="Arial"/>
            <a:cs typeface="Arial"/>
          </a:endParaRPr>
        </a:p>
        <a:p>
          <a:pPr algn="r" rtl="1">
            <a:defRPr sz="1000"/>
          </a:pPr>
          <a:endParaRPr lang="he-IL" sz="1000" b="1"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1. צרו טבלת ציר אשר מראה, עבור כל אזור (שורה), את הממוצע אשר משלמות המשפחות, בחלוקה לחוגים (עמודה).</a:t>
          </a:r>
        </a:p>
        <a:p>
          <a:pPr algn="r" rtl="1">
            <a:defRPr sz="1000"/>
          </a:pPr>
          <a:r>
            <a:rPr lang="he-IL" sz="1000" b="0" i="0" u="none" strike="noStrike" baseline="0">
              <a:solidFill>
                <a:srgbClr val="000000"/>
              </a:solidFill>
              <a:latin typeface="Arial"/>
              <a:cs typeface="Arial"/>
            </a:rPr>
            <a:t>2. צרו טבלת ציר אשר מראה, עבור כל עיר, את הסכום אשר משלמות כל המשפחות, בחלוקה לחוגים.</a:t>
          </a:r>
        </a:p>
        <a:p>
          <a:pPr algn="r" rtl="1">
            <a:defRPr sz="1000"/>
          </a:pPr>
          <a:r>
            <a:rPr lang="he-IL" sz="1000" b="0" i="0" u="none" strike="noStrike" baseline="0">
              <a:solidFill>
                <a:srgbClr val="000000"/>
              </a:solidFill>
              <a:latin typeface="Arial"/>
              <a:cs typeface="Arial"/>
            </a:rPr>
            <a:t>3. עבור אותה טבלת ציר, הוסיפו, עבור ההגדרות של "עמוד" (מעל הטבלה) את השדה "אזור", ובחרו רק את אזור הדרום.</a:t>
          </a:r>
        </a:p>
        <a:p>
          <a:pPr algn="r" rtl="1">
            <a:defRPr sz="1000"/>
          </a:pPr>
          <a:r>
            <a:rPr lang="he-IL" sz="1000" b="0" i="0" u="none" strike="noStrike" baseline="0">
              <a:solidFill>
                <a:srgbClr val="000000"/>
              </a:solidFill>
              <a:latin typeface="Arial"/>
              <a:cs typeface="Arial"/>
            </a:rPr>
            <a:t>4. צרו טבלת ציר אשר מראה, עבור כל חוג, את מספר המשפחות שמשתתפות בו, בחלוקה לאזורים.</a:t>
          </a:r>
        </a:p>
        <a:p>
          <a:pPr algn="r" rtl="1">
            <a:defRPr sz="1000"/>
          </a:pPr>
          <a:r>
            <a:rPr lang="he-IL" sz="1000" b="0" i="0" u="none" strike="noStrike" baseline="0">
              <a:solidFill>
                <a:srgbClr val="000000"/>
              </a:solidFill>
              <a:latin typeface="Arial"/>
              <a:cs typeface="Arial"/>
            </a:rPr>
            <a:t>5. עבור הטבלה האחרונה, הראו את הסכום המינימלי אותו משלמת משפחה כלשהי (כלומר, עבור כל חוג, מהו הסכום המינמלי אותו משלמת משפחה, בחלוקה לאזורים).</a:t>
          </a:r>
        </a:p>
        <a:p>
          <a:pPr algn="r" rtl="1">
            <a:defRPr sz="1000"/>
          </a:pPr>
          <a:endParaRPr lang="he-IL" sz="1000" b="0" i="0" u="none" strike="noStrike" baseline="0">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95250</xdr:colOff>
      <xdr:row>24</xdr:row>
      <xdr:rowOff>76200</xdr:rowOff>
    </xdr:from>
    <xdr:to>
      <xdr:col>9</xdr:col>
      <xdr:colOff>314325</xdr:colOff>
      <xdr:row>49</xdr:row>
      <xdr:rowOff>104775</xdr:rowOff>
    </xdr:to>
    <xdr:sp macro="" textlink="">
      <xdr:nvSpPr>
        <xdr:cNvPr id="29697" name="Text Box 1">
          <a:extLst>
            <a:ext uri="{FF2B5EF4-FFF2-40B4-BE49-F238E27FC236}">
              <a16:creationId xmlns:a16="http://schemas.microsoft.com/office/drawing/2014/main" id="{00000000-0008-0000-0500-000001740000}"/>
            </a:ext>
          </a:extLst>
        </xdr:cNvPr>
        <xdr:cNvSpPr txBox="1">
          <a:spLocks noChangeArrowheads="1"/>
        </xdr:cNvSpPr>
      </xdr:nvSpPr>
      <xdr:spPr bwMode="auto">
        <a:xfrm>
          <a:off x="150323550" y="3981450"/>
          <a:ext cx="5791200" cy="40767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הנתונים לעיל הם נתונים שהגיעו לחברה שלכם מחברת הליסינג שלכם. מדובר בנתוני צריכת הרכב של עובדי החברה.</a:t>
          </a:r>
        </a:p>
        <a:p>
          <a:pPr algn="r" rtl="1">
            <a:defRPr sz="1000"/>
          </a:pPr>
          <a:r>
            <a:rPr lang="he-IL" sz="1000" b="0" i="0" u="none" strike="noStrike" baseline="0">
              <a:solidFill>
                <a:srgbClr val="000000"/>
              </a:solidFill>
              <a:latin typeface="Arial"/>
              <a:cs typeface="Arial"/>
            </a:rPr>
            <a:t>שימו לב - אלו נתוני המקור ואין לשנות אותם או "לגעת" בהם (!).</a:t>
          </a:r>
        </a:p>
        <a:p>
          <a:pPr algn="r" rtl="1">
            <a:defRPr sz="1000"/>
          </a:pPr>
          <a:r>
            <a:rPr lang="he-IL" sz="1000" b="0" i="0" u="none" strike="noStrike" baseline="0">
              <a:solidFill>
                <a:srgbClr val="000000"/>
              </a:solidFill>
              <a:latin typeface="Arial"/>
              <a:cs typeface="Arial"/>
            </a:rPr>
            <a:t>הנתונים לא מגיעים בפורמט בו אתם צריכים להציג את הנתונים ולכן אתם נדרשים לעשות מס' שינויים על מנת להציג אותם באופן נכון בטבלה השמאלית (אין להשתמש בחישובי ביניים או להעתיק את הנתונים):</a:t>
          </a:r>
        </a:p>
        <a:p>
          <a:pPr algn="r" rtl="1">
            <a:defRPr sz="1000"/>
          </a:pP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1. שם העובד צריך להיות בתא אחד (שם פרטי + משפחה).</a:t>
          </a:r>
        </a:p>
        <a:p>
          <a:pPr algn="r" rtl="1">
            <a:defRPr sz="1000"/>
          </a:pP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2. מס' הרכב האמיתי הוא המס' שנמצא משמאל לתו "-" (את התוספת מוסיפה חברת הליסינג לצרכיה).</a:t>
          </a:r>
        </a:p>
        <a:p>
          <a:pPr algn="r" rtl="1">
            <a:defRPr sz="1000"/>
          </a:pPr>
          <a:r>
            <a:rPr lang="he-IL" sz="1000" b="0" i="0" u="none" strike="noStrike" baseline="0">
              <a:solidFill>
                <a:srgbClr val="000000"/>
              </a:solidFill>
              <a:latin typeface="Arial"/>
              <a:cs typeface="Arial"/>
            </a:rPr>
            <a:t>שימו לב שלא בכל מס' הרכבים יש "-"; עבור רכבים אלו, המס' שכתוב הוא מס' הרכב האמיתי. עליכם לפתור את הבעיה באופן כללי ואחיד לכל התאים.</a:t>
          </a:r>
        </a:p>
        <a:p>
          <a:pPr algn="r" rtl="1">
            <a:defRPr sz="1000"/>
          </a:pP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3. סכום התדלוק צריך להיות מס' שלם. שימו לב ששינוי התצוגה</a:t>
          </a:r>
          <a:r>
            <a:rPr lang="en-US" sz="1000" b="0" i="0" u="none" strike="noStrike" baseline="0">
              <a:solidFill>
                <a:srgbClr val="000000"/>
              </a:solidFill>
              <a:latin typeface="Arial"/>
              <a:cs typeface="Arial"/>
            </a:rPr>
            <a:t>FORMAT CELLS) </a:t>
          </a:r>
          <a:r>
            <a:rPr lang="he-IL" sz="1000" b="0" i="0" u="none" strike="noStrike" baseline="0">
              <a:solidFill>
                <a:srgbClr val="000000"/>
              </a:solidFill>
              <a:latin typeface="Arial"/>
              <a:cs typeface="Arial"/>
            </a:rPr>
            <a:t>) אינה הפתרון במקרה זה, משום שהערך התא לא משתנה (רק התצוגה) בעוד שאנחנו רוצים ממש לשנות את ערך התא (כלומר, לעגל את המספר).</a:t>
          </a:r>
        </a:p>
        <a:p>
          <a:pPr algn="r" rtl="1">
            <a:defRPr sz="1000"/>
          </a:pP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4. כמו כן, יש לחשב את מס' הרכבים (ובהתאמה גם באחוזים) שצורכים דלק בטווחי הסכומים הבאים:</a:t>
          </a:r>
        </a:p>
        <a:p>
          <a:pPr algn="r" rtl="1">
            <a:defRPr sz="1000"/>
          </a:pPr>
          <a:r>
            <a:rPr lang="he-IL" sz="1000" b="0" i="0" u="none" strike="noStrike" baseline="0">
              <a:solidFill>
                <a:srgbClr val="000000"/>
              </a:solidFill>
              <a:latin typeface="Arial"/>
              <a:cs typeface="Arial"/>
            </a:rPr>
            <a:t>       א. פחות מ 30 ש"ח.</a:t>
          </a:r>
        </a:p>
        <a:p>
          <a:pPr algn="r" rtl="1">
            <a:defRPr sz="1000"/>
          </a:pPr>
          <a:r>
            <a:rPr lang="he-IL" sz="1000" b="0" i="0" u="none" strike="noStrike" baseline="0">
              <a:solidFill>
                <a:srgbClr val="000000"/>
              </a:solidFill>
              <a:latin typeface="Arial"/>
              <a:cs typeface="Arial"/>
            </a:rPr>
            <a:t>       ב. בין 30 ל 60 ש"ח.</a:t>
          </a:r>
        </a:p>
        <a:p>
          <a:pPr algn="r" rtl="1">
            <a:defRPr sz="1000"/>
          </a:pPr>
          <a:r>
            <a:rPr lang="he-IL" sz="1000" b="0" i="0" u="none" strike="noStrike" baseline="0">
              <a:solidFill>
                <a:srgbClr val="000000"/>
              </a:solidFill>
              <a:latin typeface="Arial"/>
              <a:cs typeface="Arial"/>
            </a:rPr>
            <a:t>       ג. בין 60 ל 80 ש"ח.</a:t>
          </a:r>
        </a:p>
        <a:p>
          <a:pPr algn="r" rtl="1">
            <a:defRPr sz="1000"/>
          </a:pPr>
          <a:r>
            <a:rPr lang="he-IL" sz="1000" b="0" i="0" u="none" strike="noStrike" baseline="0">
              <a:solidFill>
                <a:srgbClr val="000000"/>
              </a:solidFill>
              <a:latin typeface="Arial"/>
              <a:cs typeface="Arial"/>
            </a:rPr>
            <a:t>       ד. בין 80 ל 90 ש"ח.</a:t>
          </a:r>
        </a:p>
        <a:p>
          <a:pPr algn="r" rtl="1">
            <a:defRPr sz="1000"/>
          </a:pPr>
          <a:r>
            <a:rPr lang="he-IL" sz="1000" b="0" i="0" u="none" strike="noStrike" baseline="0">
              <a:solidFill>
                <a:srgbClr val="000000"/>
              </a:solidFill>
              <a:latin typeface="Arial"/>
              <a:cs typeface="Arial"/>
            </a:rPr>
            <a:t>       ה. בין 90 ל 100 ש"ח</a:t>
          </a:r>
        </a:p>
        <a:p>
          <a:pPr algn="r" rtl="1">
            <a:defRPr sz="1000"/>
          </a:pP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*שימו לב שעליכם לפתור את הבעיה באופן כללי (ולא באופן "קשיח" לסכומים הנ"ל). אתם יכולים לעצב טבלה זו באופן שנראה לכם.</a:t>
          </a:r>
        </a:p>
        <a:p>
          <a:pPr algn="r" rtl="1">
            <a:defRPr sz="1000"/>
          </a:pPr>
          <a:endParaRPr lang="he-IL" sz="1000" b="0" i="0" u="none" strike="noStrike" baseline="0">
            <a:solidFill>
              <a:srgbClr val="000000"/>
            </a:solidFill>
            <a:latin typeface="Arial"/>
            <a:cs typeface="Aria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yelet Goldstein" refreshedDate="41238.836881481482" createdVersion="3" refreshedVersion="3" minRefreshableVersion="3" recordCount="53" xr:uid="{00000000-000A-0000-FFFF-FFFF01000000}">
  <cacheSource type="worksheet">
    <worksheetSource ref="A1:F54" sheet="נתונים לטבלת ציר"/>
  </cacheSource>
  <cacheFields count="6">
    <cacheField name="מזהה משפחה" numFmtId="0">
      <sharedItems containsSemiMixedTypes="0" containsString="0" containsNumber="1" containsInteger="1" minValue="1" maxValue="53"/>
    </cacheField>
    <cacheField name="שם משפחה" numFmtId="0">
      <sharedItems count="52">
        <s v="סימפסון"/>
        <s v="רוטשילד"/>
        <s v="צנעני"/>
        <s v="סופרנו"/>
        <s v="בלפונטה"/>
        <s v="פלנדרס"/>
        <s v="קדמוני"/>
        <s v="סופר-על"/>
        <s v="כהן"/>
        <s v="ארדיטי"/>
        <s v="עינב"/>
        <s v="הקיסרים"/>
        <s v="זהבי"/>
        <s v="חמו"/>
        <s v="טננבאום"/>
        <s v="בנאי"/>
        <s v="לוי"/>
        <s v="חינאוי"/>
        <s v="עידן"/>
        <s v="עזריאל"/>
        <s v="בשן"/>
        <s v="פרדס"/>
        <s v="סביר"/>
        <s v="גולדברג"/>
        <s v="אליפלט"/>
        <s v="פרי"/>
        <s v="נמרוד"/>
        <s v="רבינוביץ'"/>
        <s v="אלייב"/>
        <s v="טיפו"/>
        <s v="זוארץ"/>
        <s v="בר"/>
        <s v="כץ"/>
        <s v="צדיק"/>
        <s v="יונה"/>
        <s v="עופר"/>
        <s v="אבן"/>
        <s v="אסייג"/>
        <s v="מומין"/>
        <s v="רוהר"/>
        <s v="טימלים"/>
        <s v="היונקים"/>
        <s v="מוסקוביץ"/>
        <s v="גולדן"/>
        <s v="פרץ"/>
        <s v="מלול"/>
        <s v="מלבסקי"/>
        <s v="שמידוב"/>
        <s v="קימל"/>
        <s v="אלפסי"/>
        <s v="לוזון"/>
        <s v="אלון"/>
      </sharedItems>
    </cacheField>
    <cacheField name="אזור" numFmtId="0">
      <sharedItems count="3">
        <s v="דרום"/>
        <s v="מרכז"/>
        <s v="צפון"/>
      </sharedItems>
    </cacheField>
    <cacheField name="יישוב" numFmtId="0">
      <sharedItems count="15">
        <s v="באר שבע"/>
        <s v="תל אביב"/>
        <s v="חיפה"/>
        <s v="פתח תקווה"/>
        <s v="קרית טבעון"/>
        <s v="גבעתיים"/>
        <s v="קרית שמונה"/>
        <s v="רהט"/>
        <s v="נתניה"/>
        <s v="מגדל העמק"/>
        <s v="ערד"/>
        <s v="חצור הגלילית"/>
        <s v="חולון"/>
        <s v="אילת"/>
        <s v="בארי"/>
      </sharedItems>
    </cacheField>
    <cacheField name="שם החוג" numFmtId="0">
      <sharedItems count="6">
        <s v="שחמט"/>
        <s v="בלט"/>
        <s v="אגרוף תאלינדי"/>
        <s v="שזירת פרחים"/>
        <s v="שחייה אומנותית"/>
        <s v="פיסול בשוקולד"/>
      </sharedItems>
    </cacheField>
    <cacheField name="תשלום" numFmtId="0">
      <sharedItems containsSemiMixedTypes="0" containsString="0" containsNumber="1" containsInteger="1" minValue="203" maxValue="1196" count="51">
        <n v="489"/>
        <n v="1196"/>
        <n v="214"/>
        <n v="266"/>
        <n v="464"/>
        <n v="1018"/>
        <n v="873"/>
        <n v="999"/>
        <n v="219"/>
        <n v="378"/>
        <n v="1036"/>
        <n v="1108"/>
        <n v="1045"/>
        <n v="440"/>
        <n v="437"/>
        <n v="203"/>
        <n v="1144"/>
        <n v="742"/>
        <n v="335"/>
        <n v="408"/>
        <n v="471"/>
        <n v="776"/>
        <n v="805"/>
        <n v="1020"/>
        <n v="669"/>
        <n v="433"/>
        <n v="880"/>
        <n v="628"/>
        <n v="1161"/>
        <n v="404"/>
        <n v="531"/>
        <n v="934"/>
        <n v="855"/>
        <n v="902"/>
        <n v="527"/>
        <n v="722"/>
        <n v="916"/>
        <n v="660"/>
        <n v="1032"/>
        <n v="342"/>
        <n v="1171"/>
        <n v="544"/>
        <n v="559"/>
        <n v="747"/>
        <n v="961"/>
        <n v="467"/>
        <n v="650"/>
        <n v="441"/>
        <n v="1053"/>
        <n v="639"/>
        <n v="396"/>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n v="1"/>
    <x v="0"/>
    <x v="0"/>
    <x v="0"/>
    <x v="0"/>
    <x v="0"/>
  </r>
  <r>
    <n v="2"/>
    <x v="1"/>
    <x v="1"/>
    <x v="1"/>
    <x v="1"/>
    <x v="1"/>
  </r>
  <r>
    <n v="3"/>
    <x v="2"/>
    <x v="2"/>
    <x v="2"/>
    <x v="2"/>
    <x v="2"/>
  </r>
  <r>
    <n v="4"/>
    <x v="3"/>
    <x v="1"/>
    <x v="3"/>
    <x v="3"/>
    <x v="3"/>
  </r>
  <r>
    <n v="5"/>
    <x v="4"/>
    <x v="2"/>
    <x v="4"/>
    <x v="0"/>
    <x v="4"/>
  </r>
  <r>
    <n v="6"/>
    <x v="5"/>
    <x v="1"/>
    <x v="5"/>
    <x v="4"/>
    <x v="5"/>
  </r>
  <r>
    <n v="7"/>
    <x v="6"/>
    <x v="2"/>
    <x v="6"/>
    <x v="5"/>
    <x v="6"/>
  </r>
  <r>
    <n v="8"/>
    <x v="7"/>
    <x v="0"/>
    <x v="7"/>
    <x v="1"/>
    <x v="7"/>
  </r>
  <r>
    <n v="9"/>
    <x v="8"/>
    <x v="1"/>
    <x v="8"/>
    <x v="3"/>
    <x v="8"/>
  </r>
  <r>
    <n v="10"/>
    <x v="9"/>
    <x v="2"/>
    <x v="9"/>
    <x v="2"/>
    <x v="9"/>
  </r>
  <r>
    <n v="11"/>
    <x v="10"/>
    <x v="0"/>
    <x v="10"/>
    <x v="1"/>
    <x v="10"/>
  </r>
  <r>
    <n v="12"/>
    <x v="11"/>
    <x v="2"/>
    <x v="11"/>
    <x v="3"/>
    <x v="11"/>
  </r>
  <r>
    <n v="13"/>
    <x v="12"/>
    <x v="0"/>
    <x v="0"/>
    <x v="0"/>
    <x v="12"/>
  </r>
  <r>
    <n v="14"/>
    <x v="13"/>
    <x v="1"/>
    <x v="3"/>
    <x v="2"/>
    <x v="13"/>
  </r>
  <r>
    <n v="15"/>
    <x v="14"/>
    <x v="0"/>
    <x v="7"/>
    <x v="0"/>
    <x v="14"/>
  </r>
  <r>
    <n v="16"/>
    <x v="15"/>
    <x v="2"/>
    <x v="6"/>
    <x v="3"/>
    <x v="15"/>
  </r>
  <r>
    <n v="17"/>
    <x v="16"/>
    <x v="2"/>
    <x v="2"/>
    <x v="1"/>
    <x v="16"/>
  </r>
  <r>
    <n v="18"/>
    <x v="17"/>
    <x v="0"/>
    <x v="0"/>
    <x v="2"/>
    <x v="17"/>
  </r>
  <r>
    <n v="19"/>
    <x v="18"/>
    <x v="1"/>
    <x v="5"/>
    <x v="4"/>
    <x v="18"/>
  </r>
  <r>
    <n v="20"/>
    <x v="19"/>
    <x v="2"/>
    <x v="4"/>
    <x v="1"/>
    <x v="19"/>
  </r>
  <r>
    <n v="21"/>
    <x v="20"/>
    <x v="0"/>
    <x v="10"/>
    <x v="3"/>
    <x v="8"/>
  </r>
  <r>
    <n v="22"/>
    <x v="21"/>
    <x v="2"/>
    <x v="6"/>
    <x v="1"/>
    <x v="20"/>
  </r>
  <r>
    <n v="23"/>
    <x v="22"/>
    <x v="1"/>
    <x v="1"/>
    <x v="3"/>
    <x v="21"/>
  </r>
  <r>
    <n v="24"/>
    <x v="23"/>
    <x v="1"/>
    <x v="3"/>
    <x v="0"/>
    <x v="22"/>
  </r>
  <r>
    <n v="25"/>
    <x v="24"/>
    <x v="2"/>
    <x v="11"/>
    <x v="2"/>
    <x v="23"/>
  </r>
  <r>
    <n v="26"/>
    <x v="25"/>
    <x v="1"/>
    <x v="12"/>
    <x v="0"/>
    <x v="24"/>
  </r>
  <r>
    <n v="27"/>
    <x v="26"/>
    <x v="2"/>
    <x v="9"/>
    <x v="1"/>
    <x v="25"/>
  </r>
  <r>
    <n v="28"/>
    <x v="27"/>
    <x v="1"/>
    <x v="8"/>
    <x v="4"/>
    <x v="26"/>
  </r>
  <r>
    <n v="29"/>
    <x v="28"/>
    <x v="0"/>
    <x v="13"/>
    <x v="5"/>
    <x v="27"/>
  </r>
  <r>
    <n v="30"/>
    <x v="29"/>
    <x v="1"/>
    <x v="1"/>
    <x v="3"/>
    <x v="28"/>
  </r>
  <r>
    <n v="31"/>
    <x v="30"/>
    <x v="1"/>
    <x v="12"/>
    <x v="1"/>
    <x v="29"/>
  </r>
  <r>
    <n v="32"/>
    <x v="31"/>
    <x v="0"/>
    <x v="0"/>
    <x v="5"/>
    <x v="30"/>
  </r>
  <r>
    <n v="33"/>
    <x v="32"/>
    <x v="2"/>
    <x v="2"/>
    <x v="0"/>
    <x v="31"/>
  </r>
  <r>
    <n v="34"/>
    <x v="16"/>
    <x v="0"/>
    <x v="13"/>
    <x v="3"/>
    <x v="32"/>
  </r>
  <r>
    <n v="35"/>
    <x v="33"/>
    <x v="2"/>
    <x v="4"/>
    <x v="1"/>
    <x v="33"/>
  </r>
  <r>
    <n v="36"/>
    <x v="34"/>
    <x v="0"/>
    <x v="10"/>
    <x v="4"/>
    <x v="34"/>
  </r>
  <r>
    <n v="37"/>
    <x v="35"/>
    <x v="1"/>
    <x v="8"/>
    <x v="1"/>
    <x v="35"/>
  </r>
  <r>
    <n v="38"/>
    <x v="36"/>
    <x v="2"/>
    <x v="11"/>
    <x v="5"/>
    <x v="36"/>
  </r>
  <r>
    <n v="39"/>
    <x v="37"/>
    <x v="0"/>
    <x v="0"/>
    <x v="2"/>
    <x v="37"/>
  </r>
  <r>
    <n v="40"/>
    <x v="38"/>
    <x v="1"/>
    <x v="1"/>
    <x v="1"/>
    <x v="38"/>
  </r>
  <r>
    <n v="41"/>
    <x v="39"/>
    <x v="2"/>
    <x v="2"/>
    <x v="3"/>
    <x v="39"/>
  </r>
  <r>
    <n v="42"/>
    <x v="40"/>
    <x v="1"/>
    <x v="3"/>
    <x v="2"/>
    <x v="40"/>
  </r>
  <r>
    <n v="43"/>
    <x v="41"/>
    <x v="1"/>
    <x v="8"/>
    <x v="0"/>
    <x v="41"/>
  </r>
  <r>
    <n v="44"/>
    <x v="42"/>
    <x v="0"/>
    <x v="7"/>
    <x v="3"/>
    <x v="42"/>
  </r>
  <r>
    <n v="45"/>
    <x v="43"/>
    <x v="2"/>
    <x v="4"/>
    <x v="1"/>
    <x v="43"/>
  </r>
  <r>
    <n v="46"/>
    <x v="44"/>
    <x v="0"/>
    <x v="14"/>
    <x v="0"/>
    <x v="44"/>
  </r>
  <r>
    <n v="47"/>
    <x v="45"/>
    <x v="0"/>
    <x v="0"/>
    <x v="4"/>
    <x v="45"/>
  </r>
  <r>
    <n v="48"/>
    <x v="46"/>
    <x v="2"/>
    <x v="6"/>
    <x v="1"/>
    <x v="46"/>
  </r>
  <r>
    <n v="49"/>
    <x v="47"/>
    <x v="0"/>
    <x v="10"/>
    <x v="3"/>
    <x v="47"/>
  </r>
  <r>
    <n v="50"/>
    <x v="48"/>
    <x v="1"/>
    <x v="3"/>
    <x v="0"/>
    <x v="8"/>
  </r>
  <r>
    <n v="51"/>
    <x v="49"/>
    <x v="1"/>
    <x v="1"/>
    <x v="2"/>
    <x v="48"/>
  </r>
  <r>
    <n v="52"/>
    <x v="50"/>
    <x v="2"/>
    <x v="2"/>
    <x v="2"/>
    <x v="49"/>
  </r>
  <r>
    <n v="53"/>
    <x v="51"/>
    <x v="0"/>
    <x v="14"/>
    <x v="4"/>
    <x v="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0"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1:E9" firstHeaderRow="1" firstDataRow="2" firstDataCol="1"/>
  <pivotFields count="6">
    <pivotField showAll="0"/>
    <pivotField showAll="0"/>
    <pivotField axis="axisCol" showAll="0">
      <items count="4">
        <item x="0"/>
        <item x="1"/>
        <item x="2"/>
        <item t="default"/>
      </items>
    </pivotField>
    <pivotField showAll="0">
      <items count="16">
        <item x="13"/>
        <item x="0"/>
        <item x="14"/>
        <item x="5"/>
        <item x="12"/>
        <item x="2"/>
        <item x="11"/>
        <item x="9"/>
        <item x="8"/>
        <item x="10"/>
        <item x="3"/>
        <item x="4"/>
        <item x="6"/>
        <item x="7"/>
        <item x="1"/>
        <item t="default"/>
      </items>
    </pivotField>
    <pivotField axis="axisRow" showAll="0">
      <items count="7">
        <item x="2"/>
        <item x="1"/>
        <item x="5"/>
        <item x="3"/>
        <item x="4"/>
        <item x="0"/>
        <item t="default"/>
      </items>
    </pivotField>
    <pivotField dataField="1" showAll="0"/>
  </pivotFields>
  <rowFields count="1">
    <field x="4"/>
  </rowFields>
  <rowItems count="7">
    <i>
      <x/>
    </i>
    <i>
      <x v="1"/>
    </i>
    <i>
      <x v="2"/>
    </i>
    <i>
      <x v="3"/>
    </i>
    <i>
      <x v="4"/>
    </i>
    <i>
      <x v="5"/>
    </i>
    <i t="grand">
      <x/>
    </i>
  </rowItems>
  <colFields count="1">
    <field x="2"/>
  </colFields>
  <colItems count="4">
    <i>
      <x/>
    </i>
    <i>
      <x v="1"/>
    </i>
    <i>
      <x v="2"/>
    </i>
    <i t="grand">
      <x/>
    </i>
  </colItems>
  <dataFields count="1">
    <dataField name="Sum of תשלום" fld="5"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7"/>
  </sheetPr>
  <dimension ref="A1:M98"/>
  <sheetViews>
    <sheetView rightToLeft="1" topLeftCell="A30" zoomScale="145" zoomScaleNormal="145" workbookViewId="0">
      <selection activeCell="B43" sqref="B43"/>
    </sheetView>
  </sheetViews>
  <sheetFormatPr defaultRowHeight="12.75" x14ac:dyDescent="0.2"/>
  <cols>
    <col min="1" max="1" width="25.140625" bestFit="1" customWidth="1"/>
    <col min="2" max="2" width="15.5703125" bestFit="1" customWidth="1"/>
  </cols>
  <sheetData>
    <row r="1" spans="1:8" x14ac:dyDescent="0.2">
      <c r="A1" t="s">
        <v>128</v>
      </c>
      <c r="B1" s="22" t="s">
        <v>129</v>
      </c>
    </row>
    <row r="2" spans="1:8" x14ac:dyDescent="0.2">
      <c r="A2">
        <v>6.1101000000000001</v>
      </c>
      <c r="B2">
        <v>17.591999999999999</v>
      </c>
    </row>
    <row r="3" spans="1:8" x14ac:dyDescent="0.2">
      <c r="A3">
        <v>5.5277000000000003</v>
      </c>
      <c r="B3">
        <v>9.1302000000000003</v>
      </c>
    </row>
    <row r="4" spans="1:8" x14ac:dyDescent="0.2">
      <c r="A4">
        <v>8.5185999999999993</v>
      </c>
      <c r="B4">
        <v>13.662000000000001</v>
      </c>
    </row>
    <row r="5" spans="1:8" x14ac:dyDescent="0.2">
      <c r="A5">
        <v>7.0031999999999996</v>
      </c>
      <c r="B5">
        <v>11.853999999999999</v>
      </c>
    </row>
    <row r="6" spans="1:8" x14ac:dyDescent="0.2">
      <c r="A6">
        <v>5.8597999999999999</v>
      </c>
      <c r="B6">
        <v>6.8232999999999997</v>
      </c>
    </row>
    <row r="7" spans="1:8" x14ac:dyDescent="0.2">
      <c r="A7">
        <v>8.3828999999999994</v>
      </c>
      <c r="B7">
        <v>11.885999999999999</v>
      </c>
    </row>
    <row r="8" spans="1:8" x14ac:dyDescent="0.2">
      <c r="A8">
        <v>7.4763999999999999</v>
      </c>
      <c r="B8">
        <v>4.3483000000000001</v>
      </c>
    </row>
    <row r="9" spans="1:8" x14ac:dyDescent="0.2">
      <c r="A9">
        <v>8.5780999999999992</v>
      </c>
      <c r="B9">
        <v>12</v>
      </c>
    </row>
    <row r="10" spans="1:8" x14ac:dyDescent="0.2">
      <c r="A10">
        <v>6.4862000000000002</v>
      </c>
      <c r="B10">
        <v>6.5987</v>
      </c>
    </row>
    <row r="11" spans="1:8" x14ac:dyDescent="0.2">
      <c r="A11">
        <v>5.0545999999999998</v>
      </c>
      <c r="B11">
        <v>3.8166000000000002</v>
      </c>
    </row>
    <row r="12" spans="1:8" ht="13.5" thickBot="1" x14ac:dyDescent="0.25">
      <c r="A12">
        <v>5.7107000000000001</v>
      </c>
      <c r="B12">
        <v>3.2522000000000002</v>
      </c>
    </row>
    <row r="13" spans="1:8" x14ac:dyDescent="0.2">
      <c r="A13">
        <v>14.164</v>
      </c>
      <c r="B13">
        <v>15.505000000000001</v>
      </c>
      <c r="E13" s="24"/>
      <c r="F13" s="24"/>
      <c r="G13" s="24"/>
      <c r="H13" s="24"/>
    </row>
    <row r="14" spans="1:8" x14ac:dyDescent="0.2">
      <c r="A14">
        <v>5.734</v>
      </c>
      <c r="B14">
        <v>3.1551</v>
      </c>
    </row>
    <row r="15" spans="1:8" x14ac:dyDescent="0.2">
      <c r="A15">
        <v>8.4084000000000003</v>
      </c>
      <c r="B15">
        <v>7.2257999999999996</v>
      </c>
      <c r="D15" s="22"/>
    </row>
    <row r="16" spans="1:8" ht="13.5" thickBot="1" x14ac:dyDescent="0.25">
      <c r="A16">
        <v>5.6406999999999998</v>
      </c>
      <c r="B16">
        <v>0.71618000000000004</v>
      </c>
      <c r="E16" s="8"/>
      <c r="F16" s="8"/>
      <c r="G16" s="8"/>
      <c r="H16" s="8"/>
    </row>
    <row r="17" spans="1:5" x14ac:dyDescent="0.2">
      <c r="A17">
        <v>5.3794000000000004</v>
      </c>
      <c r="B17">
        <v>3.5129000000000001</v>
      </c>
    </row>
    <row r="18" spans="1:5" x14ac:dyDescent="0.2">
      <c r="A18">
        <v>6.3654000000000002</v>
      </c>
      <c r="B18">
        <v>5.3048000000000002</v>
      </c>
    </row>
    <row r="19" spans="1:5" x14ac:dyDescent="0.2">
      <c r="A19">
        <v>5.1300999999999997</v>
      </c>
      <c r="B19">
        <v>0.56076999999999999</v>
      </c>
    </row>
    <row r="20" spans="1:5" x14ac:dyDescent="0.2">
      <c r="A20">
        <v>6.4295999999999998</v>
      </c>
      <c r="B20">
        <v>3.6518000000000002</v>
      </c>
    </row>
    <row r="21" spans="1:5" x14ac:dyDescent="0.2">
      <c r="A21">
        <v>7.0708000000000002</v>
      </c>
      <c r="B21">
        <v>5.3893000000000004</v>
      </c>
    </row>
    <row r="22" spans="1:5" x14ac:dyDescent="0.2">
      <c r="A22">
        <v>6.1890999999999998</v>
      </c>
      <c r="B22">
        <v>3.1385999999999998</v>
      </c>
    </row>
    <row r="23" spans="1:5" x14ac:dyDescent="0.2">
      <c r="A23">
        <v>20.27</v>
      </c>
      <c r="B23">
        <v>21.766999999999999</v>
      </c>
    </row>
    <row r="24" spans="1:5" x14ac:dyDescent="0.2">
      <c r="A24">
        <v>5.4901</v>
      </c>
      <c r="B24">
        <v>4.2629999999999999</v>
      </c>
    </row>
    <row r="25" spans="1:5" x14ac:dyDescent="0.2">
      <c r="A25">
        <v>6.3261000000000003</v>
      </c>
      <c r="B25">
        <v>5.1875</v>
      </c>
    </row>
    <row r="26" spans="1:5" x14ac:dyDescent="0.2">
      <c r="A26">
        <v>5.5648999999999997</v>
      </c>
      <c r="B26">
        <v>3.0825</v>
      </c>
    </row>
    <row r="27" spans="1:5" x14ac:dyDescent="0.2">
      <c r="A27">
        <v>18.945</v>
      </c>
      <c r="B27">
        <v>22.638000000000002</v>
      </c>
    </row>
    <row r="28" spans="1:5" x14ac:dyDescent="0.2">
      <c r="A28">
        <v>12.827999999999999</v>
      </c>
      <c r="B28">
        <v>13.500999999999999</v>
      </c>
    </row>
    <row r="29" spans="1:5" x14ac:dyDescent="0.2">
      <c r="A29">
        <v>10.957000000000001</v>
      </c>
      <c r="B29">
        <v>7.0467000000000004</v>
      </c>
    </row>
    <row r="30" spans="1:5" x14ac:dyDescent="0.2">
      <c r="A30">
        <v>13.176</v>
      </c>
      <c r="B30">
        <v>14.692</v>
      </c>
    </row>
    <row r="31" spans="1:5" x14ac:dyDescent="0.2">
      <c r="A31">
        <v>22.202999999999999</v>
      </c>
      <c r="B31">
        <v>24.146999999999998</v>
      </c>
      <c r="D31" s="25"/>
      <c r="E31" s="25"/>
    </row>
    <row r="32" spans="1:5" x14ac:dyDescent="0.2">
      <c r="A32">
        <v>5.2523999999999997</v>
      </c>
      <c r="B32">
        <v>-1.22</v>
      </c>
    </row>
    <row r="33" spans="1:12" x14ac:dyDescent="0.2">
      <c r="A33">
        <v>6.5894000000000004</v>
      </c>
      <c r="B33">
        <v>5.9965999999999999</v>
      </c>
    </row>
    <row r="34" spans="1:12" x14ac:dyDescent="0.2">
      <c r="A34">
        <v>9.2482000000000006</v>
      </c>
      <c r="B34">
        <v>12.134</v>
      </c>
    </row>
    <row r="35" spans="1:12" x14ac:dyDescent="0.2">
      <c r="A35">
        <v>5.8917999999999999</v>
      </c>
      <c r="B35">
        <v>1.8494999999999999</v>
      </c>
    </row>
    <row r="36" spans="1:12" x14ac:dyDescent="0.2">
      <c r="A36">
        <v>8.2111000000000001</v>
      </c>
      <c r="B36">
        <v>6.5426000000000002</v>
      </c>
    </row>
    <row r="37" spans="1:12" x14ac:dyDescent="0.2">
      <c r="A37">
        <v>7.9333999999999998</v>
      </c>
      <c r="B37">
        <v>4.5622999999999996</v>
      </c>
    </row>
    <row r="38" spans="1:12" x14ac:dyDescent="0.2">
      <c r="A38">
        <v>8.0959000000000003</v>
      </c>
      <c r="B38">
        <v>4.1163999999999996</v>
      </c>
    </row>
    <row r="39" spans="1:12" x14ac:dyDescent="0.2">
      <c r="A39">
        <v>5.6063000000000001</v>
      </c>
      <c r="B39">
        <v>3.3927999999999998</v>
      </c>
      <c r="D39" s="26"/>
      <c r="E39" s="26"/>
      <c r="F39" s="26"/>
      <c r="G39" s="26"/>
      <c r="H39" s="26"/>
      <c r="I39" s="26"/>
    </row>
    <row r="40" spans="1:12" x14ac:dyDescent="0.2">
      <c r="A40">
        <v>12.836</v>
      </c>
      <c r="B40">
        <v>10.117000000000001</v>
      </c>
    </row>
    <row r="41" spans="1:12" x14ac:dyDescent="0.2">
      <c r="A41">
        <v>6.3533999999999997</v>
      </c>
      <c r="B41">
        <v>5.4973999999999998</v>
      </c>
    </row>
    <row r="42" spans="1:12" x14ac:dyDescent="0.2">
      <c r="A42">
        <v>5.4069000000000003</v>
      </c>
      <c r="B42">
        <v>0.55657000000000001</v>
      </c>
    </row>
    <row r="43" spans="1:12" x14ac:dyDescent="0.2">
      <c r="A43">
        <v>6.8825000000000003</v>
      </c>
      <c r="B43">
        <v>3.9115000000000002</v>
      </c>
    </row>
    <row r="44" spans="1:12" x14ac:dyDescent="0.2">
      <c r="A44">
        <v>11.708</v>
      </c>
      <c r="B44">
        <v>5.3853999999999997</v>
      </c>
      <c r="D44" s="26"/>
      <c r="E44" s="26"/>
      <c r="F44" s="26"/>
      <c r="G44" s="26"/>
      <c r="H44" s="26"/>
      <c r="I44" s="26"/>
      <c r="J44" s="26"/>
      <c r="K44" s="26"/>
      <c r="L44" s="26"/>
    </row>
    <row r="45" spans="1:12" x14ac:dyDescent="0.2">
      <c r="A45">
        <v>5.7736999999999998</v>
      </c>
      <c r="B45">
        <v>2.4405999999999999</v>
      </c>
    </row>
    <row r="46" spans="1:12" x14ac:dyDescent="0.2">
      <c r="A46">
        <v>7.8247</v>
      </c>
      <c r="B46">
        <v>6.7317999999999998</v>
      </c>
    </row>
    <row r="47" spans="1:12" x14ac:dyDescent="0.2">
      <c r="A47">
        <v>7.0930999999999997</v>
      </c>
      <c r="B47">
        <v>1.0463</v>
      </c>
    </row>
    <row r="48" spans="1:12" x14ac:dyDescent="0.2">
      <c r="A48">
        <v>5.0701999999999998</v>
      </c>
      <c r="B48">
        <v>5.1337000000000002</v>
      </c>
    </row>
    <row r="49" spans="1:13" x14ac:dyDescent="0.2">
      <c r="A49">
        <v>5.8014000000000001</v>
      </c>
      <c r="B49">
        <v>1.8440000000000001</v>
      </c>
    </row>
    <row r="50" spans="1:13" x14ac:dyDescent="0.2">
      <c r="A50">
        <v>11.7</v>
      </c>
      <c r="B50">
        <v>8.0043000000000006</v>
      </c>
    </row>
    <row r="51" spans="1:13" x14ac:dyDescent="0.2">
      <c r="A51">
        <v>5.5415999999999999</v>
      </c>
      <c r="B51">
        <v>1.0179</v>
      </c>
    </row>
    <row r="52" spans="1:13" x14ac:dyDescent="0.2">
      <c r="A52">
        <v>7.5401999999999996</v>
      </c>
      <c r="B52">
        <v>6.7504</v>
      </c>
    </row>
    <row r="53" spans="1:13" x14ac:dyDescent="0.2">
      <c r="A53">
        <v>5.3076999999999996</v>
      </c>
      <c r="B53">
        <v>1.8395999999999999</v>
      </c>
    </row>
    <row r="54" spans="1:13" x14ac:dyDescent="0.2">
      <c r="A54">
        <v>7.4238999999999997</v>
      </c>
      <c r="B54">
        <v>4.2885</v>
      </c>
    </row>
    <row r="55" spans="1:13" x14ac:dyDescent="0.2">
      <c r="A55">
        <v>7.6031000000000004</v>
      </c>
      <c r="B55">
        <v>4.9981</v>
      </c>
    </row>
    <row r="56" spans="1:13" x14ac:dyDescent="0.2">
      <c r="A56">
        <v>6.3327999999999998</v>
      </c>
      <c r="B56">
        <v>1.4233</v>
      </c>
      <c r="F56">
        <f xml:space="preserve"> 1.193*3.5 - 3.8958</f>
        <v>0.2797000000000005</v>
      </c>
      <c r="G56" s="1"/>
      <c r="H56" s="33"/>
      <c r="M56" t="s">
        <v>146</v>
      </c>
    </row>
    <row r="57" spans="1:13" x14ac:dyDescent="0.2">
      <c r="A57">
        <v>6.3589000000000002</v>
      </c>
      <c r="B57">
        <v>-1.4211</v>
      </c>
      <c r="F57">
        <f>_xlfn.FORECAST.LINEAR(3.5, B2:B98, A2:A98)</f>
        <v>0.27983687635171695</v>
      </c>
      <c r="G57" s="34" t="s">
        <v>147</v>
      </c>
      <c r="H57" s="34"/>
      <c r="I57" s="34"/>
      <c r="J57" s="34"/>
      <c r="K57" s="34"/>
      <c r="L57" s="34"/>
      <c r="M57" s="34"/>
    </row>
    <row r="58" spans="1:13" x14ac:dyDescent="0.2">
      <c r="A58">
        <v>6.2742000000000004</v>
      </c>
      <c r="B58">
        <v>2.4756</v>
      </c>
    </row>
    <row r="59" spans="1:13" x14ac:dyDescent="0.2">
      <c r="A59">
        <v>5.6397000000000004</v>
      </c>
      <c r="B59">
        <v>4.6041999999999996</v>
      </c>
    </row>
    <row r="60" spans="1:13" x14ac:dyDescent="0.2">
      <c r="A60">
        <v>9.3102</v>
      </c>
      <c r="B60">
        <v>3.9624000000000001</v>
      </c>
      <c r="F60">
        <f xml:space="preserve"> 1.193*7 - 3.8958</f>
        <v>4.4552000000000014</v>
      </c>
      <c r="G60" s="34" t="s">
        <v>144</v>
      </c>
      <c r="H60" s="34"/>
      <c r="I60" s="34"/>
      <c r="J60" s="34"/>
      <c r="K60" s="34"/>
      <c r="L60" s="34"/>
      <c r="M60" s="34"/>
    </row>
    <row r="61" spans="1:13" x14ac:dyDescent="0.2">
      <c r="A61">
        <v>9.4535999999999998</v>
      </c>
      <c r="B61">
        <v>5.4141000000000004</v>
      </c>
      <c r="F61">
        <f>_xlfn.FORECAST.LINEAR(7, B2:B98, A2:A98)</f>
        <v>4.4554546310152956</v>
      </c>
      <c r="G61" s="34" t="s">
        <v>145</v>
      </c>
      <c r="H61" s="34"/>
      <c r="I61" s="34"/>
      <c r="J61" s="34"/>
      <c r="K61" s="34"/>
      <c r="L61" s="34"/>
      <c r="M61" s="34"/>
    </row>
    <row r="62" spans="1:13" x14ac:dyDescent="0.2">
      <c r="A62">
        <v>8.8254000000000001</v>
      </c>
      <c r="B62">
        <v>5.1694000000000004</v>
      </c>
    </row>
    <row r="63" spans="1:13" x14ac:dyDescent="0.2">
      <c r="A63">
        <v>5.1792999999999996</v>
      </c>
      <c r="B63">
        <v>-0.74278999999999995</v>
      </c>
    </row>
    <row r="64" spans="1:13" x14ac:dyDescent="0.2">
      <c r="A64">
        <v>21.279</v>
      </c>
      <c r="B64">
        <v>17.928999999999998</v>
      </c>
    </row>
    <row r="65" spans="1:11" x14ac:dyDescent="0.2">
      <c r="A65">
        <v>14.907999999999999</v>
      </c>
      <c r="B65">
        <v>12.054</v>
      </c>
    </row>
    <row r="66" spans="1:11" x14ac:dyDescent="0.2">
      <c r="A66">
        <v>18.959</v>
      </c>
      <c r="B66">
        <v>17.053999999999998</v>
      </c>
    </row>
    <row r="67" spans="1:11" x14ac:dyDescent="0.2">
      <c r="A67">
        <v>7.2182000000000004</v>
      </c>
      <c r="B67">
        <v>4.8852000000000002</v>
      </c>
    </row>
    <row r="68" spans="1:11" x14ac:dyDescent="0.2">
      <c r="A68">
        <v>8.2950999999999997</v>
      </c>
      <c r="B68">
        <v>5.7442000000000002</v>
      </c>
    </row>
    <row r="69" spans="1:11" x14ac:dyDescent="0.2">
      <c r="A69">
        <v>10.236000000000001</v>
      </c>
      <c r="B69">
        <v>7.7754000000000003</v>
      </c>
    </row>
    <row r="70" spans="1:11" x14ac:dyDescent="0.2">
      <c r="A70">
        <v>5.4993999999999996</v>
      </c>
      <c r="B70">
        <v>1.0173000000000001</v>
      </c>
    </row>
    <row r="71" spans="1:11" x14ac:dyDescent="0.2">
      <c r="A71">
        <v>20.341000000000001</v>
      </c>
      <c r="B71">
        <v>20.992000000000001</v>
      </c>
    </row>
    <row r="72" spans="1:11" x14ac:dyDescent="0.2">
      <c r="A72">
        <v>10.135999999999999</v>
      </c>
      <c r="B72">
        <v>6.6798999999999999</v>
      </c>
    </row>
    <row r="73" spans="1:11" x14ac:dyDescent="0.2">
      <c r="A73">
        <v>7.3345000000000002</v>
      </c>
      <c r="B73">
        <v>4.0259</v>
      </c>
    </row>
    <row r="74" spans="1:11" x14ac:dyDescent="0.2">
      <c r="A74">
        <v>6.0061999999999998</v>
      </c>
      <c r="B74">
        <v>1.2784</v>
      </c>
    </row>
    <row r="75" spans="1:11" x14ac:dyDescent="0.2">
      <c r="A75">
        <v>7.2259000000000002</v>
      </c>
      <c r="B75">
        <v>3.3411</v>
      </c>
    </row>
    <row r="76" spans="1:11" x14ac:dyDescent="0.2">
      <c r="A76">
        <v>5.0269000000000004</v>
      </c>
      <c r="B76">
        <v>-2.6806999999999999</v>
      </c>
      <c r="F76" cm="1">
        <f t="array" ref="F76:G76">LINEST(B2:B98, A2:A98)</f>
        <v>1.1930336441895939</v>
      </c>
      <c r="G76">
        <v>-3.8957808783118617</v>
      </c>
      <c r="H76" s="1"/>
      <c r="I76" s="1"/>
      <c r="J76" s="1" t="s">
        <v>148</v>
      </c>
    </row>
    <row r="77" spans="1:11" x14ac:dyDescent="0.2">
      <c r="A77">
        <v>6.5479000000000003</v>
      </c>
      <c r="B77">
        <v>0.29677999999999999</v>
      </c>
      <c r="G77">
        <f>F76*3.5+G76</f>
        <v>0.27983687635171695</v>
      </c>
      <c r="K77" t="s">
        <v>149</v>
      </c>
    </row>
    <row r="78" spans="1:11" x14ac:dyDescent="0.2">
      <c r="A78">
        <v>7.5385999999999997</v>
      </c>
      <c r="B78">
        <v>3.8845000000000001</v>
      </c>
      <c r="G78">
        <f>F76*7+G76</f>
        <v>4.4554546310152956</v>
      </c>
      <c r="K78" t="s">
        <v>143</v>
      </c>
    </row>
    <row r="79" spans="1:11" x14ac:dyDescent="0.2">
      <c r="A79">
        <v>5.0365000000000002</v>
      </c>
      <c r="B79">
        <v>5.7013999999999996</v>
      </c>
    </row>
    <row r="80" spans="1:11" x14ac:dyDescent="0.2">
      <c r="A80">
        <v>10.273999999999999</v>
      </c>
      <c r="B80">
        <v>6.7526000000000002</v>
      </c>
    </row>
    <row r="81" spans="1:2" x14ac:dyDescent="0.2">
      <c r="A81">
        <v>5.1077000000000004</v>
      </c>
      <c r="B81">
        <v>2.0575999999999999</v>
      </c>
    </row>
    <row r="82" spans="1:2" x14ac:dyDescent="0.2">
      <c r="A82">
        <v>5.7291999999999996</v>
      </c>
      <c r="B82">
        <v>0.47953000000000001</v>
      </c>
    </row>
    <row r="83" spans="1:2" x14ac:dyDescent="0.2">
      <c r="A83">
        <v>5.1883999999999997</v>
      </c>
      <c r="B83">
        <v>0.20421</v>
      </c>
    </row>
    <row r="84" spans="1:2" x14ac:dyDescent="0.2">
      <c r="A84">
        <v>6.3556999999999997</v>
      </c>
      <c r="B84">
        <v>0.67861000000000005</v>
      </c>
    </row>
    <row r="85" spans="1:2" x14ac:dyDescent="0.2">
      <c r="A85">
        <v>9.7687000000000008</v>
      </c>
      <c r="B85">
        <v>7.5434999999999999</v>
      </c>
    </row>
    <row r="86" spans="1:2" x14ac:dyDescent="0.2">
      <c r="A86">
        <v>6.5159000000000002</v>
      </c>
      <c r="B86">
        <v>5.3436000000000003</v>
      </c>
    </row>
    <row r="87" spans="1:2" x14ac:dyDescent="0.2">
      <c r="A87">
        <v>8.5172000000000008</v>
      </c>
      <c r="B87">
        <v>4.2415000000000003</v>
      </c>
    </row>
    <row r="88" spans="1:2" x14ac:dyDescent="0.2">
      <c r="A88">
        <v>9.1801999999999992</v>
      </c>
      <c r="B88">
        <v>6.7980999999999998</v>
      </c>
    </row>
    <row r="89" spans="1:2" x14ac:dyDescent="0.2">
      <c r="A89">
        <v>6.0019999999999998</v>
      </c>
      <c r="B89">
        <v>0.92695000000000005</v>
      </c>
    </row>
    <row r="90" spans="1:2" x14ac:dyDescent="0.2">
      <c r="A90">
        <v>5.5204000000000004</v>
      </c>
      <c r="B90">
        <v>0.152</v>
      </c>
    </row>
    <row r="91" spans="1:2" x14ac:dyDescent="0.2">
      <c r="A91">
        <v>5.0594000000000001</v>
      </c>
      <c r="B91">
        <v>2.8214000000000001</v>
      </c>
    </row>
    <row r="92" spans="1:2" x14ac:dyDescent="0.2">
      <c r="A92">
        <v>5.7077</v>
      </c>
      <c r="B92">
        <v>1.8451</v>
      </c>
    </row>
    <row r="93" spans="1:2" x14ac:dyDescent="0.2">
      <c r="A93">
        <v>7.6365999999999996</v>
      </c>
      <c r="B93">
        <v>4.2958999999999996</v>
      </c>
    </row>
    <row r="94" spans="1:2" x14ac:dyDescent="0.2">
      <c r="A94">
        <v>5.8707000000000003</v>
      </c>
      <c r="B94">
        <v>7.2028999999999996</v>
      </c>
    </row>
    <row r="95" spans="1:2" x14ac:dyDescent="0.2">
      <c r="A95">
        <v>5.3053999999999997</v>
      </c>
      <c r="B95">
        <v>1.9869000000000001</v>
      </c>
    </row>
    <row r="96" spans="1:2" x14ac:dyDescent="0.2">
      <c r="A96">
        <v>8.2934000000000001</v>
      </c>
      <c r="B96">
        <v>0.14454</v>
      </c>
    </row>
    <row r="97" spans="1:2" x14ac:dyDescent="0.2">
      <c r="A97">
        <v>13.394</v>
      </c>
      <c r="B97">
        <v>9.0550999999999995</v>
      </c>
    </row>
    <row r="98" spans="1:2" x14ac:dyDescent="0.2">
      <c r="A98">
        <v>5.4368999999999996</v>
      </c>
      <c r="B98">
        <v>0.61704999999999999</v>
      </c>
    </row>
  </sheetData>
  <mergeCells count="3">
    <mergeCell ref="G57:M57"/>
    <mergeCell ref="G60:M60"/>
    <mergeCell ref="G61:M6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7"/>
  </sheetPr>
  <dimension ref="A1:N24"/>
  <sheetViews>
    <sheetView rightToLeft="1" zoomScale="115" zoomScaleNormal="115" workbookViewId="0">
      <selection activeCell="L10" sqref="L10"/>
    </sheetView>
  </sheetViews>
  <sheetFormatPr defaultRowHeight="12.75" x14ac:dyDescent="0.2"/>
  <cols>
    <col min="1" max="1" width="10.140625" bestFit="1" customWidth="1"/>
    <col min="2" max="2" width="4.28515625" bestFit="1" customWidth="1"/>
    <col min="4" max="4" width="10.140625" bestFit="1" customWidth="1"/>
    <col min="5" max="5" width="4.28515625" bestFit="1" customWidth="1"/>
    <col min="7" max="7" width="10.140625" bestFit="1" customWidth="1"/>
    <col min="8" max="8" width="4.28515625" bestFit="1" customWidth="1"/>
    <col min="10" max="10" width="10.140625" bestFit="1" customWidth="1"/>
    <col min="11" max="11" width="4.28515625" bestFit="1" customWidth="1"/>
    <col min="13" max="13" width="10.140625" bestFit="1" customWidth="1"/>
    <col min="14" max="14" width="4.28515625" bestFit="1" customWidth="1"/>
  </cols>
  <sheetData>
    <row r="1" spans="1:14" ht="15" x14ac:dyDescent="0.25">
      <c r="A1" s="32">
        <v>1</v>
      </c>
      <c r="B1" s="32"/>
      <c r="D1" s="32">
        <v>2</v>
      </c>
      <c r="E1" s="32"/>
      <c r="G1" s="32">
        <v>3</v>
      </c>
      <c r="H1" s="32"/>
      <c r="J1" s="32">
        <v>4</v>
      </c>
      <c r="K1" s="32"/>
      <c r="M1" s="32">
        <v>5</v>
      </c>
      <c r="N1" s="32"/>
    </row>
    <row r="3" spans="1:14" x14ac:dyDescent="0.2">
      <c r="A3" s="28" t="s">
        <v>130</v>
      </c>
      <c r="B3" s="28" t="s">
        <v>131</v>
      </c>
      <c r="D3" s="28" t="s">
        <v>130</v>
      </c>
      <c r="E3" s="28" t="s">
        <v>131</v>
      </c>
      <c r="G3" s="28" t="s">
        <v>130</v>
      </c>
      <c r="H3" s="28" t="s">
        <v>131</v>
      </c>
      <c r="J3" s="28" t="s">
        <v>130</v>
      </c>
      <c r="K3" s="28" t="s">
        <v>131</v>
      </c>
      <c r="M3" s="28" t="s">
        <v>130</v>
      </c>
      <c r="N3" s="28" t="s">
        <v>131</v>
      </c>
    </row>
    <row r="4" spans="1:14" x14ac:dyDescent="0.2">
      <c r="A4" s="29">
        <v>42005</v>
      </c>
      <c r="B4" s="30">
        <v>0</v>
      </c>
      <c r="D4" s="29">
        <v>42005</v>
      </c>
      <c r="E4" s="30">
        <v>0</v>
      </c>
      <c r="G4" s="29">
        <v>42005</v>
      </c>
      <c r="H4" s="30">
        <v>0</v>
      </c>
      <c r="J4" s="29">
        <v>42005</v>
      </c>
      <c r="K4" s="30">
        <v>0</v>
      </c>
      <c r="M4" s="29">
        <v>42005</v>
      </c>
      <c r="N4" s="30">
        <v>0</v>
      </c>
    </row>
    <row r="5" spans="1:14" x14ac:dyDescent="0.2">
      <c r="A5" s="29">
        <v>42007</v>
      </c>
      <c r="B5" s="30">
        <v>14</v>
      </c>
      <c r="D5" s="29">
        <v>42007</v>
      </c>
      <c r="E5" s="30">
        <v>14</v>
      </c>
      <c r="G5" s="29">
        <v>42007</v>
      </c>
      <c r="H5" s="30">
        <v>14</v>
      </c>
      <c r="J5" s="29">
        <v>42007</v>
      </c>
      <c r="K5" s="30">
        <v>14</v>
      </c>
      <c r="M5" s="29">
        <v>42007</v>
      </c>
      <c r="N5" s="30">
        <v>14</v>
      </c>
    </row>
    <row r="6" spans="1:14" x14ac:dyDescent="0.2">
      <c r="A6" s="29">
        <v>42013</v>
      </c>
      <c r="B6" s="30">
        <v>30</v>
      </c>
      <c r="D6" s="29">
        <v>42013</v>
      </c>
      <c r="E6" s="30">
        <v>30</v>
      </c>
      <c r="G6" s="29">
        <v>42013</v>
      </c>
      <c r="H6" s="30">
        <v>30</v>
      </c>
      <c r="J6" s="29">
        <v>42013</v>
      </c>
      <c r="K6" s="30">
        <v>30</v>
      </c>
      <c r="M6" s="29">
        <v>42013</v>
      </c>
      <c r="N6" s="30">
        <v>30</v>
      </c>
    </row>
    <row r="7" spans="1:14" x14ac:dyDescent="0.2">
      <c r="A7" s="29">
        <v>42014</v>
      </c>
      <c r="B7" s="30">
        <v>25</v>
      </c>
      <c r="D7" s="29">
        <v>42014</v>
      </c>
      <c r="E7" s="30">
        <v>25</v>
      </c>
      <c r="G7" s="29">
        <v>42014</v>
      </c>
      <c r="H7" s="30">
        <v>25</v>
      </c>
      <c r="J7" s="29">
        <v>42014</v>
      </c>
      <c r="K7" s="30">
        <v>25</v>
      </c>
      <c r="M7" s="29">
        <v>42014</v>
      </c>
      <c r="N7" s="30">
        <v>25</v>
      </c>
    </row>
    <row r="8" spans="1:14" x14ac:dyDescent="0.2">
      <c r="A8" s="29">
        <v>42096</v>
      </c>
      <c r="B8" s="30">
        <v>7</v>
      </c>
      <c r="D8" s="29">
        <v>42096</v>
      </c>
      <c r="E8" s="30">
        <v>7</v>
      </c>
      <c r="G8" s="29">
        <v>42096</v>
      </c>
      <c r="H8" s="30">
        <v>7</v>
      </c>
      <c r="J8" s="29">
        <v>42096</v>
      </c>
      <c r="K8" s="30">
        <v>7</v>
      </c>
      <c r="M8" s="29">
        <v>42096</v>
      </c>
      <c r="N8" s="30">
        <v>7</v>
      </c>
    </row>
    <row r="9" spans="1:14" x14ac:dyDescent="0.2">
      <c r="A9" s="29">
        <v>42132</v>
      </c>
      <c r="B9" s="30">
        <v>35</v>
      </c>
      <c r="D9" s="29">
        <v>42132</v>
      </c>
      <c r="E9" s="30">
        <v>35</v>
      </c>
      <c r="G9" s="29">
        <v>42132</v>
      </c>
      <c r="H9" s="30">
        <v>35</v>
      </c>
      <c r="J9" s="29">
        <v>42132</v>
      </c>
      <c r="K9" s="30">
        <v>35</v>
      </c>
      <c r="M9" s="29">
        <v>42132</v>
      </c>
      <c r="N9" s="30">
        <v>35</v>
      </c>
    </row>
    <row r="10" spans="1:14" x14ac:dyDescent="0.2">
      <c r="A10" s="29">
        <v>42186</v>
      </c>
      <c r="B10" s="30">
        <v>3</v>
      </c>
      <c r="D10" s="29">
        <v>42186</v>
      </c>
      <c r="E10" s="30">
        <v>3</v>
      </c>
      <c r="G10" s="29">
        <v>42186</v>
      </c>
      <c r="H10" s="30">
        <v>3</v>
      </c>
      <c r="J10" s="29">
        <v>42186</v>
      </c>
      <c r="K10" s="30">
        <v>3</v>
      </c>
      <c r="M10" s="29">
        <v>42186</v>
      </c>
      <c r="N10" s="30">
        <v>3</v>
      </c>
    </row>
    <row r="11" spans="1:14" x14ac:dyDescent="0.2">
      <c r="A11" s="29">
        <v>42218</v>
      </c>
      <c r="B11" s="30">
        <v>9</v>
      </c>
      <c r="D11" s="29">
        <v>42218</v>
      </c>
      <c r="E11" s="30">
        <v>9</v>
      </c>
      <c r="G11" s="29">
        <v>42218</v>
      </c>
      <c r="H11" s="30">
        <v>9</v>
      </c>
      <c r="J11" s="29">
        <v>42218</v>
      </c>
      <c r="K11" s="30">
        <v>9</v>
      </c>
      <c r="M11" s="29">
        <v>42218</v>
      </c>
      <c r="N11" s="30">
        <v>9</v>
      </c>
    </row>
    <row r="12" spans="1:14" x14ac:dyDescent="0.2">
      <c r="A12" s="29">
        <v>42285</v>
      </c>
      <c r="B12" s="30">
        <v>42</v>
      </c>
      <c r="D12" s="29">
        <v>42285</v>
      </c>
      <c r="E12" s="30">
        <v>42</v>
      </c>
      <c r="G12" s="29">
        <v>42285</v>
      </c>
      <c r="H12" s="30">
        <v>42</v>
      </c>
      <c r="J12" s="29">
        <v>42285</v>
      </c>
      <c r="K12" s="30">
        <v>42</v>
      </c>
      <c r="M12" s="29">
        <v>42285</v>
      </c>
      <c r="N12" s="30">
        <v>42</v>
      </c>
    </row>
    <row r="13" spans="1:14" x14ac:dyDescent="0.2">
      <c r="A13" s="29">
        <v>42287</v>
      </c>
      <c r="B13" s="30">
        <v>23</v>
      </c>
      <c r="D13" s="29">
        <v>42287</v>
      </c>
      <c r="E13" s="30">
        <v>23</v>
      </c>
      <c r="G13" s="29">
        <v>42287</v>
      </c>
      <c r="H13" s="30">
        <v>23</v>
      </c>
      <c r="J13" s="29">
        <v>42287</v>
      </c>
      <c r="K13" s="30">
        <v>23</v>
      </c>
      <c r="M13" s="29">
        <v>42287</v>
      </c>
      <c r="N13" s="30">
        <v>23</v>
      </c>
    </row>
    <row r="14" spans="1:14" x14ac:dyDescent="0.2">
      <c r="A14" s="31" t="s">
        <v>132</v>
      </c>
      <c r="B14" s="30">
        <v>5</v>
      </c>
      <c r="D14" s="31" t="s">
        <v>132</v>
      </c>
      <c r="E14" s="30">
        <v>5</v>
      </c>
      <c r="G14" s="31" t="s">
        <v>132</v>
      </c>
      <c r="H14" s="30">
        <v>5</v>
      </c>
      <c r="J14" s="31" t="s">
        <v>132</v>
      </c>
      <c r="K14" s="30">
        <v>5</v>
      </c>
      <c r="M14" s="31" t="s">
        <v>132</v>
      </c>
      <c r="N14" s="30">
        <v>5</v>
      </c>
    </row>
    <row r="15" spans="1:14" x14ac:dyDescent="0.2">
      <c r="A15" s="31" t="s">
        <v>133</v>
      </c>
      <c r="B15" s="30">
        <v>19</v>
      </c>
      <c r="D15" s="31" t="s">
        <v>133</v>
      </c>
      <c r="E15" s="30">
        <v>19</v>
      </c>
      <c r="G15" s="31" t="s">
        <v>133</v>
      </c>
      <c r="H15" s="30">
        <v>19</v>
      </c>
      <c r="J15" s="31" t="s">
        <v>133</v>
      </c>
      <c r="K15" s="30">
        <v>19</v>
      </c>
      <c r="M15" s="31" t="s">
        <v>133</v>
      </c>
      <c r="N15" s="30">
        <v>19</v>
      </c>
    </row>
    <row r="16" spans="1:14" x14ac:dyDescent="0.2">
      <c r="A16" s="31" t="s">
        <v>134</v>
      </c>
      <c r="B16" s="30">
        <v>26</v>
      </c>
      <c r="D16" s="31" t="s">
        <v>134</v>
      </c>
      <c r="E16" s="30">
        <v>26</v>
      </c>
      <c r="G16" s="31" t="s">
        <v>134</v>
      </c>
      <c r="H16" s="30">
        <v>26</v>
      </c>
      <c r="J16" s="31" t="s">
        <v>134</v>
      </c>
      <c r="K16" s="30">
        <v>26</v>
      </c>
      <c r="M16" s="31" t="s">
        <v>134</v>
      </c>
      <c r="N16" s="30">
        <v>26</v>
      </c>
    </row>
    <row r="17" spans="1:14" x14ac:dyDescent="0.2">
      <c r="A17" s="31" t="s">
        <v>135</v>
      </c>
      <c r="B17" s="30">
        <v>8</v>
      </c>
      <c r="D17" s="31" t="s">
        <v>135</v>
      </c>
      <c r="E17" s="30">
        <v>8</v>
      </c>
      <c r="G17" s="31" t="s">
        <v>135</v>
      </c>
      <c r="H17" s="30">
        <v>8</v>
      </c>
      <c r="J17" s="31" t="s">
        <v>135</v>
      </c>
      <c r="K17" s="30">
        <v>8</v>
      </c>
      <c r="M17" s="31" t="s">
        <v>135</v>
      </c>
      <c r="N17" s="30">
        <v>8</v>
      </c>
    </row>
    <row r="18" spans="1:14" x14ac:dyDescent="0.2">
      <c r="A18" s="31" t="s">
        <v>136</v>
      </c>
      <c r="B18" s="30">
        <v>5</v>
      </c>
      <c r="D18" s="31" t="s">
        <v>136</v>
      </c>
      <c r="E18" s="30">
        <v>5</v>
      </c>
      <c r="G18" s="31" t="s">
        <v>136</v>
      </c>
      <c r="H18" s="30">
        <v>5</v>
      </c>
      <c r="J18" s="31" t="s">
        <v>136</v>
      </c>
      <c r="K18" s="30">
        <v>5</v>
      </c>
      <c r="M18" s="31" t="s">
        <v>136</v>
      </c>
      <c r="N18" s="30">
        <v>5</v>
      </c>
    </row>
    <row r="19" spans="1:14" x14ac:dyDescent="0.2">
      <c r="A19" s="31" t="s">
        <v>137</v>
      </c>
      <c r="B19" s="30">
        <v>37</v>
      </c>
      <c r="D19" s="31" t="s">
        <v>137</v>
      </c>
      <c r="E19" s="30">
        <v>37</v>
      </c>
      <c r="G19" s="31" t="s">
        <v>137</v>
      </c>
      <c r="H19" s="30">
        <v>37</v>
      </c>
      <c r="J19" s="31" t="s">
        <v>137</v>
      </c>
      <c r="K19" s="30">
        <v>37</v>
      </c>
      <c r="M19" s="31" t="s">
        <v>137</v>
      </c>
      <c r="N19" s="30">
        <v>37</v>
      </c>
    </row>
    <row r="20" spans="1:14" x14ac:dyDescent="0.2">
      <c r="A20" s="31" t="s">
        <v>138</v>
      </c>
      <c r="B20" s="30">
        <v>38</v>
      </c>
      <c r="D20" s="31" t="s">
        <v>138</v>
      </c>
      <c r="E20" s="30">
        <v>38</v>
      </c>
      <c r="G20" s="31" t="s">
        <v>138</v>
      </c>
      <c r="H20" s="30">
        <v>38</v>
      </c>
      <c r="J20" s="31" t="s">
        <v>138</v>
      </c>
      <c r="K20" s="30">
        <v>38</v>
      </c>
      <c r="M20" s="31" t="s">
        <v>138</v>
      </c>
      <c r="N20" s="30">
        <v>38</v>
      </c>
    </row>
    <row r="21" spans="1:14" x14ac:dyDescent="0.2">
      <c r="A21" s="31" t="s">
        <v>139</v>
      </c>
      <c r="B21" s="30">
        <v>-3</v>
      </c>
      <c r="D21" s="31" t="s">
        <v>139</v>
      </c>
      <c r="E21" s="30">
        <v>-3</v>
      </c>
      <c r="G21" s="31" t="s">
        <v>139</v>
      </c>
      <c r="H21" s="30">
        <v>-3</v>
      </c>
      <c r="J21" s="31" t="s">
        <v>139</v>
      </c>
      <c r="K21" s="30">
        <v>-3</v>
      </c>
      <c r="M21" s="31" t="s">
        <v>139</v>
      </c>
      <c r="N21" s="30">
        <v>-3</v>
      </c>
    </row>
    <row r="22" spans="1:14" x14ac:dyDescent="0.2">
      <c r="A22" s="31" t="s">
        <v>140</v>
      </c>
      <c r="B22" s="30">
        <v>-1</v>
      </c>
      <c r="D22" s="31" t="s">
        <v>140</v>
      </c>
      <c r="E22" s="30">
        <v>-1</v>
      </c>
      <c r="G22" s="31" t="s">
        <v>140</v>
      </c>
      <c r="H22" s="30">
        <v>-1</v>
      </c>
      <c r="J22" s="31" t="s">
        <v>140</v>
      </c>
      <c r="K22" s="30">
        <v>-1</v>
      </c>
      <c r="M22" s="31" t="s">
        <v>140</v>
      </c>
      <c r="N22" s="30">
        <v>-1</v>
      </c>
    </row>
    <row r="23" spans="1:14" x14ac:dyDescent="0.2">
      <c r="A23" s="31" t="s">
        <v>141</v>
      </c>
      <c r="B23" s="30">
        <v>12</v>
      </c>
      <c r="D23" s="31" t="s">
        <v>141</v>
      </c>
      <c r="E23" s="30">
        <v>12</v>
      </c>
      <c r="G23" s="31" t="s">
        <v>141</v>
      </c>
      <c r="H23" s="30">
        <v>12</v>
      </c>
      <c r="J23" s="31" t="s">
        <v>141</v>
      </c>
      <c r="K23" s="30">
        <v>12</v>
      </c>
      <c r="M23" s="31" t="s">
        <v>141</v>
      </c>
      <c r="N23" s="30">
        <v>12</v>
      </c>
    </row>
    <row r="24" spans="1:14" x14ac:dyDescent="0.2">
      <c r="A24" s="31" t="s">
        <v>142</v>
      </c>
      <c r="B24" s="30">
        <v>41</v>
      </c>
      <c r="D24" s="31" t="s">
        <v>142</v>
      </c>
      <c r="E24" s="30">
        <v>41</v>
      </c>
      <c r="G24" s="31" t="s">
        <v>142</v>
      </c>
      <c r="H24" s="30">
        <v>41</v>
      </c>
      <c r="J24" s="31" t="s">
        <v>142</v>
      </c>
      <c r="K24" s="30">
        <v>41</v>
      </c>
      <c r="M24" s="31" t="s">
        <v>142</v>
      </c>
      <c r="N24" s="30">
        <v>41</v>
      </c>
    </row>
  </sheetData>
  <mergeCells count="5">
    <mergeCell ref="A1:B1"/>
    <mergeCell ref="D1:E1"/>
    <mergeCell ref="G1:H1"/>
    <mergeCell ref="J1:K1"/>
    <mergeCell ref="M1:N1"/>
  </mergeCells>
  <conditionalFormatting sqref="B4:B24">
    <cfRule type="colorScale" priority="8">
      <colorScale>
        <cfvo type="formula" val="&quot;x&lt;20&quot;"/>
        <cfvo type="formula" val="&quot;20&lt;x&lt;25&quot;"/>
        <cfvo type="formula" val="&quot;x&gt;=35&quot;"/>
        <color theme="3"/>
        <color rgb="FF00B050"/>
        <color rgb="FFFF0000"/>
      </colorScale>
    </cfRule>
    <cfRule type="cellIs" dxfId="7" priority="7" operator="greaterThanOrEqual">
      <formula>35</formula>
    </cfRule>
    <cfRule type="cellIs" dxfId="6" priority="6" operator="lessThan">
      <formula>20</formula>
    </cfRule>
    <cfRule type="cellIs" dxfId="5" priority="5" operator="between">
      <formula>20</formula>
      <formula>35</formula>
    </cfRule>
  </conditionalFormatting>
  <conditionalFormatting sqref="E4:E24">
    <cfRule type="colorScale" priority="4">
      <colorScale>
        <cfvo type="min"/>
        <cfvo type="percentile" val="50"/>
        <cfvo type="max"/>
        <color rgb="FF5A8AC6"/>
        <color rgb="FFFCFCFF"/>
        <color rgb="FFF8696B"/>
      </colorScale>
    </cfRule>
  </conditionalFormatting>
  <conditionalFormatting sqref="H4:H24">
    <cfRule type="top10" dxfId="4" priority="3" rank="10"/>
  </conditionalFormatting>
  <conditionalFormatting sqref="N4:N24">
    <cfRule type="dataBar" priority="1">
      <dataBar>
        <cfvo type="min"/>
        <cfvo type="max"/>
        <color rgb="FFD6007B"/>
      </dataBar>
      <extLst>
        <ext xmlns:x14="http://schemas.microsoft.com/office/spreadsheetml/2009/9/main" uri="{B025F937-C7B1-47D3-B67F-A62EFF666E3E}">
          <x14:id>{0250CB10-60F6-446C-9B5D-514E77E80E70}</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2" id="{E625D8EE-59AC-4972-8750-0F33D0896E9E}">
            <x14:iconSet iconSet="3Triangles">
              <x14:cfvo type="percent">
                <xm:f>0</xm:f>
              </x14:cfvo>
              <x14:cfvo type="percent">
                <xm:f>33</xm:f>
              </x14:cfvo>
              <x14:cfvo type="percent">
                <xm:f>67</xm:f>
              </x14:cfvo>
            </x14:iconSet>
          </x14:cfRule>
          <xm:sqref>K4:K24</xm:sqref>
        </x14:conditionalFormatting>
        <x14:conditionalFormatting xmlns:xm="http://schemas.microsoft.com/office/excel/2006/main">
          <x14:cfRule type="dataBar" id="{0250CB10-60F6-446C-9B5D-514E77E80E70}">
            <x14:dataBar minLength="0" maxLength="100" border="1" negativeBarBorderColorSameAsPositive="0">
              <x14:cfvo type="autoMin"/>
              <x14:cfvo type="autoMax"/>
              <x14:borderColor rgb="FFD6007B"/>
              <x14:negativeFillColor rgb="FFFF0000"/>
              <x14:negativeBorderColor rgb="FFFF0000"/>
              <x14:axisColor rgb="FF000000"/>
            </x14:dataBar>
          </x14:cfRule>
          <xm:sqref>N4:N24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21">
    <tabColor theme="7"/>
  </sheetPr>
  <dimension ref="A1:N44"/>
  <sheetViews>
    <sheetView rightToLeft="1" tabSelected="1" topLeftCell="A7" zoomScale="130" zoomScaleNormal="130" workbookViewId="0">
      <selection activeCell="F15" sqref="F15"/>
    </sheetView>
  </sheetViews>
  <sheetFormatPr defaultRowHeight="12.75" x14ac:dyDescent="0.2"/>
  <cols>
    <col min="1" max="1" width="13.85546875" customWidth="1"/>
    <col min="2" max="2" width="17" customWidth="1"/>
    <col min="3" max="4" width="6" customWidth="1"/>
    <col min="5" max="5" width="11.7109375" customWidth="1"/>
    <col min="6" max="6" width="6.7109375" customWidth="1"/>
    <col min="7" max="7" width="9.85546875" customWidth="1"/>
    <col min="8" max="8" width="9.42578125" customWidth="1"/>
    <col min="9" max="9" width="12.5703125" customWidth="1"/>
    <col min="10" max="10" width="6.7109375" customWidth="1"/>
    <col min="11" max="11" width="9.85546875" customWidth="1"/>
    <col min="12" max="12" width="7" customWidth="1"/>
    <col min="13" max="13" width="10.140625" customWidth="1"/>
    <col min="14" max="14" width="13.85546875" customWidth="1"/>
    <col min="15" max="15" width="17" customWidth="1"/>
    <col min="16" max="17" width="6" customWidth="1"/>
    <col min="18" max="18" width="11.7109375" customWidth="1"/>
    <col min="19" max="19" width="10.5703125" customWidth="1"/>
    <col min="20" max="20" width="6" customWidth="1"/>
    <col min="21" max="21" width="9.140625" customWidth="1"/>
    <col min="22" max="22" width="11.85546875" customWidth="1"/>
    <col min="23" max="23" width="15.140625" bestFit="1" customWidth="1"/>
    <col min="24" max="24" width="11.85546875" customWidth="1"/>
    <col min="25" max="25" width="15.140625" bestFit="1" customWidth="1"/>
    <col min="26" max="26" width="12.5703125" customWidth="1"/>
    <col min="27" max="27" width="15.85546875" customWidth="1"/>
    <col min="28" max="28" width="6.28515625" customWidth="1"/>
    <col min="29" max="29" width="9.42578125" bestFit="1" customWidth="1"/>
    <col min="30" max="30" width="9.42578125" customWidth="1"/>
    <col min="31" max="31" width="12.5703125" bestFit="1" customWidth="1"/>
    <col min="32" max="32" width="11.7109375" bestFit="1" customWidth="1"/>
  </cols>
  <sheetData>
    <row r="1" spans="1:5" x14ac:dyDescent="0.2">
      <c r="A1" s="23" t="s">
        <v>127</v>
      </c>
      <c r="B1" s="23" t="s">
        <v>125</v>
      </c>
    </row>
    <row r="2" spans="1:5" x14ac:dyDescent="0.2">
      <c r="A2" s="23" t="s">
        <v>126</v>
      </c>
      <c r="B2" t="s">
        <v>6</v>
      </c>
      <c r="C2" t="s">
        <v>8</v>
      </c>
      <c r="D2" t="s">
        <v>11</v>
      </c>
      <c r="E2" t="s">
        <v>124</v>
      </c>
    </row>
    <row r="3" spans="1:5" x14ac:dyDescent="0.2">
      <c r="A3" s="17" t="s">
        <v>12</v>
      </c>
      <c r="B3">
        <v>1402</v>
      </c>
      <c r="C3">
        <v>2664</v>
      </c>
      <c r="D3">
        <v>2251</v>
      </c>
      <c r="E3">
        <v>6317</v>
      </c>
    </row>
    <row r="4" spans="1:5" x14ac:dyDescent="0.2">
      <c r="A4" s="17" t="s">
        <v>10</v>
      </c>
      <c r="B4">
        <v>2035</v>
      </c>
      <c r="C4">
        <v>3354</v>
      </c>
      <c r="D4">
        <v>4755</v>
      </c>
      <c r="E4">
        <v>10144</v>
      </c>
    </row>
    <row r="5" spans="1:5" x14ac:dyDescent="0.2">
      <c r="A5" s="17" t="s">
        <v>19</v>
      </c>
      <c r="B5">
        <v>1159</v>
      </c>
      <c r="D5">
        <v>1789</v>
      </c>
      <c r="E5">
        <v>2948</v>
      </c>
    </row>
    <row r="6" spans="1:5" x14ac:dyDescent="0.2">
      <c r="A6" s="17" t="s">
        <v>14</v>
      </c>
      <c r="B6">
        <v>2074</v>
      </c>
      <c r="C6">
        <v>2422</v>
      </c>
      <c r="D6">
        <v>1653</v>
      </c>
      <c r="E6">
        <v>6149</v>
      </c>
    </row>
    <row r="7" spans="1:5" x14ac:dyDescent="0.2">
      <c r="A7" s="17" t="s">
        <v>17</v>
      </c>
      <c r="B7">
        <v>1390</v>
      </c>
      <c r="C7">
        <v>2233</v>
      </c>
      <c r="E7">
        <v>3623</v>
      </c>
    </row>
    <row r="8" spans="1:5" x14ac:dyDescent="0.2">
      <c r="A8" s="17" t="s">
        <v>7</v>
      </c>
      <c r="B8">
        <v>2932</v>
      </c>
      <c r="C8">
        <v>2237</v>
      </c>
      <c r="D8">
        <v>1398</v>
      </c>
      <c r="E8">
        <v>6567</v>
      </c>
    </row>
    <row r="9" spans="1:5" x14ac:dyDescent="0.2">
      <c r="A9" s="17" t="s">
        <v>124</v>
      </c>
      <c r="B9">
        <v>10992</v>
      </c>
      <c r="C9">
        <v>12910</v>
      </c>
      <c r="D9">
        <v>11846</v>
      </c>
      <c r="E9">
        <v>35748</v>
      </c>
    </row>
    <row r="38" spans="14:14" x14ac:dyDescent="0.2">
      <c r="N38" s="17"/>
    </row>
    <row r="39" spans="14:14" x14ac:dyDescent="0.2">
      <c r="N39" s="17"/>
    </row>
    <row r="40" spans="14:14" x14ac:dyDescent="0.2">
      <c r="N40" s="17"/>
    </row>
    <row r="41" spans="14:14" x14ac:dyDescent="0.2">
      <c r="N41" s="17"/>
    </row>
    <row r="42" spans="14:14" x14ac:dyDescent="0.2">
      <c r="N42" s="17"/>
    </row>
    <row r="43" spans="14:14" x14ac:dyDescent="0.2">
      <c r="N43" s="17"/>
    </row>
    <row r="44" spans="14:14" x14ac:dyDescent="0.2">
      <c r="N44" s="17"/>
    </row>
  </sheetData>
  <phoneticPr fontId="0" type="noConversion"/>
  <conditionalFormatting sqref="D33">
    <cfRule type="dataBar" priority="1">
      <dataBar>
        <cfvo type="min"/>
        <cfvo type="max"/>
        <color rgb="FF638EC6"/>
      </dataBar>
      <extLst>
        <ext xmlns:x14="http://schemas.microsoft.com/office/spreadsheetml/2009/9/main" uri="{B025F937-C7B1-47D3-B67F-A62EFF666E3E}">
          <x14:id>{FCDB5703-816D-47F2-B488-C2C6D4620C18}</x14:id>
        </ext>
      </extLst>
    </cfRule>
  </conditionalFormatting>
  <pageMargins left="0.75" right="0.75" top="1" bottom="1" header="0.5" footer="0.5"/>
  <pageSetup paperSize="9" orientation="portrait" horizontalDpi="4294967293" verticalDpi="300" r:id="rId2"/>
  <headerFooter alignWithMargins="0"/>
  <drawing r:id="rId3"/>
  <extLst>
    <ext xmlns:x14="http://schemas.microsoft.com/office/spreadsheetml/2009/9/main" uri="{78C0D931-6437-407d-A8EE-F0AAD7539E65}">
      <x14:conditionalFormattings>
        <x14:conditionalFormatting xmlns:xm="http://schemas.microsoft.com/office/excel/2006/main">
          <x14:cfRule type="dataBar" id="{FCDB5703-816D-47F2-B488-C2C6D4620C18}">
            <x14:dataBar minLength="0" maxLength="100" border="1" negativeBarBorderColorSameAsPositive="0">
              <x14:cfvo type="autoMin"/>
              <x14:cfvo type="autoMax"/>
              <x14:borderColor rgb="FF638EC6"/>
              <x14:negativeFillColor rgb="FFFF0000"/>
              <x14:negativeBorderColor rgb="FFFF0000"/>
              <x14:axisColor rgb="FF000000"/>
            </x14:dataBar>
          </x14:cfRule>
          <xm:sqref>D33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2">
    <tabColor theme="7"/>
  </sheetPr>
  <dimension ref="A1:G54"/>
  <sheetViews>
    <sheetView rightToLeft="1" workbookViewId="0">
      <selection activeCell="P19" sqref="P19"/>
    </sheetView>
  </sheetViews>
  <sheetFormatPr defaultRowHeight="12.75" x14ac:dyDescent="0.2"/>
  <cols>
    <col min="1" max="1" width="11.42578125" bestFit="1" customWidth="1"/>
    <col min="2" max="2" width="14.7109375" bestFit="1" customWidth="1"/>
    <col min="3" max="3" width="9" bestFit="1" customWidth="1"/>
    <col min="4" max="4" width="10.5703125" bestFit="1" customWidth="1"/>
    <col min="5" max="5" width="12.42578125" bestFit="1" customWidth="1"/>
    <col min="6" max="6" width="12" style="1" bestFit="1" customWidth="1"/>
    <col min="8" max="8" width="16.85546875" bestFit="1" customWidth="1"/>
    <col min="9" max="9" width="17" bestFit="1" customWidth="1"/>
    <col min="10" max="10" width="12" bestFit="1" customWidth="1"/>
    <col min="11" max="11" width="6" bestFit="1" customWidth="1"/>
    <col min="12" max="12" width="7" bestFit="1" customWidth="1"/>
    <col min="13" max="13" width="4.28515625" bestFit="1" customWidth="1"/>
    <col min="14" max="15" width="12" bestFit="1" customWidth="1"/>
    <col min="16" max="16" width="9.85546875" bestFit="1" customWidth="1"/>
    <col min="17" max="18" width="7" bestFit="1" customWidth="1"/>
    <col min="19" max="19" width="9.85546875" bestFit="1" customWidth="1"/>
    <col min="20" max="20" width="12" bestFit="1" customWidth="1"/>
    <col min="21" max="21" width="10.5703125" bestFit="1" customWidth="1"/>
    <col min="22" max="22" width="4.28515625" bestFit="1" customWidth="1"/>
    <col min="23" max="23" width="7.42578125" bestFit="1" customWidth="1"/>
    <col min="24" max="24" width="12" bestFit="1" customWidth="1"/>
    <col min="25" max="25" width="4.85546875" bestFit="1" customWidth="1"/>
    <col min="26" max="26" width="6.28515625" bestFit="1" customWidth="1"/>
    <col min="27" max="27" width="4.7109375" bestFit="1" customWidth="1"/>
    <col min="28" max="28" width="15.140625" bestFit="1" customWidth="1"/>
    <col min="29" max="29" width="12.5703125" bestFit="1" customWidth="1"/>
    <col min="30" max="30" width="6.85546875" bestFit="1" customWidth="1"/>
    <col min="31" max="31" width="5.28515625" bestFit="1" customWidth="1"/>
    <col min="32" max="32" width="6.140625" bestFit="1" customWidth="1"/>
    <col min="33" max="33" width="15.85546875" bestFit="1" customWidth="1"/>
    <col min="34" max="34" width="9.42578125" bestFit="1" customWidth="1"/>
    <col min="35" max="35" width="11.7109375" bestFit="1" customWidth="1"/>
  </cols>
  <sheetData>
    <row r="1" spans="1:7" x14ac:dyDescent="0.2">
      <c r="A1" s="10" t="s">
        <v>34</v>
      </c>
      <c r="B1" s="10" t="s">
        <v>2</v>
      </c>
      <c r="C1" s="10" t="s">
        <v>3</v>
      </c>
      <c r="D1" s="10" t="s">
        <v>4</v>
      </c>
      <c r="E1" s="10" t="s">
        <v>28</v>
      </c>
      <c r="F1" s="10" t="s">
        <v>5</v>
      </c>
    </row>
    <row r="2" spans="1:7" x14ac:dyDescent="0.2">
      <c r="A2">
        <v>1</v>
      </c>
      <c r="B2" t="s">
        <v>35</v>
      </c>
      <c r="C2" t="s">
        <v>6</v>
      </c>
      <c r="D2" t="s">
        <v>1</v>
      </c>
      <c r="E2" t="s">
        <v>7</v>
      </c>
      <c r="F2" s="1">
        <v>489</v>
      </c>
      <c r="G2" s="11"/>
    </row>
    <row r="3" spans="1:7" x14ac:dyDescent="0.2">
      <c r="A3">
        <v>2</v>
      </c>
      <c r="B3" t="s">
        <v>36</v>
      </c>
      <c r="C3" t="s">
        <v>8</v>
      </c>
      <c r="D3" t="s">
        <v>9</v>
      </c>
      <c r="E3" t="s">
        <v>10</v>
      </c>
      <c r="F3" s="1">
        <v>1196</v>
      </c>
      <c r="G3" s="11"/>
    </row>
    <row r="4" spans="1:7" x14ac:dyDescent="0.2">
      <c r="A4">
        <v>3</v>
      </c>
      <c r="B4" t="s">
        <v>37</v>
      </c>
      <c r="C4" t="s">
        <v>11</v>
      </c>
      <c r="D4" t="s">
        <v>0</v>
      </c>
      <c r="E4" t="s">
        <v>12</v>
      </c>
      <c r="F4" s="1">
        <v>214</v>
      </c>
      <c r="G4" s="11"/>
    </row>
    <row r="5" spans="1:7" x14ac:dyDescent="0.2">
      <c r="A5">
        <v>4</v>
      </c>
      <c r="B5" t="s">
        <v>38</v>
      </c>
      <c r="C5" t="s">
        <v>8</v>
      </c>
      <c r="D5" t="s">
        <v>13</v>
      </c>
      <c r="E5" t="s">
        <v>14</v>
      </c>
      <c r="F5" s="1">
        <v>266</v>
      </c>
      <c r="G5" s="11"/>
    </row>
    <row r="6" spans="1:7" x14ac:dyDescent="0.2">
      <c r="A6">
        <v>5</v>
      </c>
      <c r="B6" t="s">
        <v>39</v>
      </c>
      <c r="C6" t="s">
        <v>11</v>
      </c>
      <c r="D6" t="s">
        <v>15</v>
      </c>
      <c r="E6" t="s">
        <v>7</v>
      </c>
      <c r="F6" s="1">
        <v>464</v>
      </c>
      <c r="G6" s="11"/>
    </row>
    <row r="7" spans="1:7" x14ac:dyDescent="0.2">
      <c r="A7">
        <v>6</v>
      </c>
      <c r="B7" t="s">
        <v>40</v>
      </c>
      <c r="C7" t="s">
        <v>8</v>
      </c>
      <c r="D7" t="s">
        <v>16</v>
      </c>
      <c r="E7" t="s">
        <v>17</v>
      </c>
      <c r="F7" s="1">
        <v>1018</v>
      </c>
      <c r="G7" s="11"/>
    </row>
    <row r="8" spans="1:7" x14ac:dyDescent="0.2">
      <c r="A8">
        <v>7</v>
      </c>
      <c r="B8" t="s">
        <v>41</v>
      </c>
      <c r="C8" t="s">
        <v>11</v>
      </c>
      <c r="D8" t="s">
        <v>18</v>
      </c>
      <c r="E8" t="s">
        <v>19</v>
      </c>
      <c r="F8" s="1">
        <v>873</v>
      </c>
      <c r="G8" s="11"/>
    </row>
    <row r="9" spans="1:7" x14ac:dyDescent="0.2">
      <c r="A9">
        <v>8</v>
      </c>
      <c r="B9" t="s">
        <v>42</v>
      </c>
      <c r="C9" t="s">
        <v>6</v>
      </c>
      <c r="D9" t="s">
        <v>20</v>
      </c>
      <c r="E9" t="s">
        <v>10</v>
      </c>
      <c r="F9" s="1">
        <v>999</v>
      </c>
      <c r="G9" s="11"/>
    </row>
    <row r="10" spans="1:7" x14ac:dyDescent="0.2">
      <c r="A10">
        <v>9</v>
      </c>
      <c r="B10" t="s">
        <v>43</v>
      </c>
      <c r="C10" t="s">
        <v>8</v>
      </c>
      <c r="D10" t="s">
        <v>21</v>
      </c>
      <c r="E10" t="s">
        <v>14</v>
      </c>
      <c r="F10" s="1">
        <v>219</v>
      </c>
      <c r="G10" s="11"/>
    </row>
    <row r="11" spans="1:7" x14ac:dyDescent="0.2">
      <c r="A11">
        <v>10</v>
      </c>
      <c r="B11" t="s">
        <v>45</v>
      </c>
      <c r="C11" t="s">
        <v>11</v>
      </c>
      <c r="D11" t="s">
        <v>22</v>
      </c>
      <c r="E11" t="s">
        <v>12</v>
      </c>
      <c r="F11" s="1">
        <v>378</v>
      </c>
      <c r="G11" s="11"/>
    </row>
    <row r="12" spans="1:7" x14ac:dyDescent="0.2">
      <c r="A12">
        <v>11</v>
      </c>
      <c r="B12" t="s">
        <v>46</v>
      </c>
      <c r="C12" t="s">
        <v>6</v>
      </c>
      <c r="D12" t="s">
        <v>23</v>
      </c>
      <c r="E12" t="s">
        <v>10</v>
      </c>
      <c r="F12" s="1">
        <v>1036</v>
      </c>
      <c r="G12" s="11"/>
    </row>
    <row r="13" spans="1:7" x14ac:dyDescent="0.2">
      <c r="A13">
        <v>12</v>
      </c>
      <c r="B13" t="s">
        <v>47</v>
      </c>
      <c r="C13" t="s">
        <v>11</v>
      </c>
      <c r="D13" t="s">
        <v>24</v>
      </c>
      <c r="E13" t="s">
        <v>14</v>
      </c>
      <c r="F13" s="1">
        <v>1108</v>
      </c>
      <c r="G13" s="11"/>
    </row>
    <row r="14" spans="1:7" x14ac:dyDescent="0.2">
      <c r="A14">
        <v>13</v>
      </c>
      <c r="B14" t="s">
        <v>48</v>
      </c>
      <c r="C14" t="s">
        <v>6</v>
      </c>
      <c r="D14" t="s">
        <v>1</v>
      </c>
      <c r="E14" t="s">
        <v>7</v>
      </c>
      <c r="F14" s="1">
        <v>1045</v>
      </c>
      <c r="G14" s="11"/>
    </row>
    <row r="15" spans="1:7" x14ac:dyDescent="0.2">
      <c r="A15">
        <v>14</v>
      </c>
      <c r="B15" t="s">
        <v>49</v>
      </c>
      <c r="C15" t="s">
        <v>8</v>
      </c>
      <c r="D15" t="s">
        <v>13</v>
      </c>
      <c r="E15" t="s">
        <v>12</v>
      </c>
      <c r="F15" s="1">
        <v>440</v>
      </c>
      <c r="G15" s="11"/>
    </row>
    <row r="16" spans="1:7" x14ac:dyDescent="0.2">
      <c r="A16">
        <v>15</v>
      </c>
      <c r="B16" t="s">
        <v>50</v>
      </c>
      <c r="C16" t="s">
        <v>6</v>
      </c>
      <c r="D16" t="s">
        <v>20</v>
      </c>
      <c r="E16" t="s">
        <v>7</v>
      </c>
      <c r="F16" s="1">
        <v>437</v>
      </c>
      <c r="G16" s="11"/>
    </row>
    <row r="17" spans="1:7" x14ac:dyDescent="0.2">
      <c r="A17">
        <v>16</v>
      </c>
      <c r="B17" t="s">
        <v>51</v>
      </c>
      <c r="C17" t="s">
        <v>11</v>
      </c>
      <c r="D17" t="s">
        <v>18</v>
      </c>
      <c r="E17" t="s">
        <v>14</v>
      </c>
      <c r="F17" s="1">
        <v>203</v>
      </c>
      <c r="G17" s="11"/>
    </row>
    <row r="18" spans="1:7" x14ac:dyDescent="0.2">
      <c r="A18">
        <v>17</v>
      </c>
      <c r="B18" t="s">
        <v>44</v>
      </c>
      <c r="C18" t="s">
        <v>11</v>
      </c>
      <c r="D18" t="s">
        <v>0</v>
      </c>
      <c r="E18" t="s">
        <v>10</v>
      </c>
      <c r="F18" s="1">
        <v>1144</v>
      </c>
      <c r="G18" s="11"/>
    </row>
    <row r="19" spans="1:7" x14ac:dyDescent="0.2">
      <c r="A19">
        <v>18</v>
      </c>
      <c r="B19" t="s">
        <v>52</v>
      </c>
      <c r="C19" t="s">
        <v>6</v>
      </c>
      <c r="D19" t="s">
        <v>1</v>
      </c>
      <c r="E19" t="s">
        <v>12</v>
      </c>
      <c r="F19" s="1">
        <v>742</v>
      </c>
      <c r="G19" s="11"/>
    </row>
    <row r="20" spans="1:7" x14ac:dyDescent="0.2">
      <c r="A20">
        <v>19</v>
      </c>
      <c r="B20" t="s">
        <v>53</v>
      </c>
      <c r="C20" t="s">
        <v>8</v>
      </c>
      <c r="D20" t="s">
        <v>16</v>
      </c>
      <c r="E20" t="s">
        <v>17</v>
      </c>
      <c r="F20" s="1">
        <v>335</v>
      </c>
      <c r="G20" s="11"/>
    </row>
    <row r="21" spans="1:7" x14ac:dyDescent="0.2">
      <c r="A21">
        <v>20</v>
      </c>
      <c r="B21" t="s">
        <v>54</v>
      </c>
      <c r="C21" t="s">
        <v>11</v>
      </c>
      <c r="D21" t="s">
        <v>15</v>
      </c>
      <c r="E21" t="s">
        <v>10</v>
      </c>
      <c r="F21" s="1">
        <v>408</v>
      </c>
      <c r="G21" s="11"/>
    </row>
    <row r="22" spans="1:7" x14ac:dyDescent="0.2">
      <c r="A22">
        <v>21</v>
      </c>
      <c r="B22" t="s">
        <v>55</v>
      </c>
      <c r="C22" t="s">
        <v>6</v>
      </c>
      <c r="D22" t="s">
        <v>23</v>
      </c>
      <c r="E22" t="s">
        <v>14</v>
      </c>
      <c r="F22" s="1">
        <v>219</v>
      </c>
      <c r="G22" s="11"/>
    </row>
    <row r="23" spans="1:7" x14ac:dyDescent="0.2">
      <c r="A23">
        <v>22</v>
      </c>
      <c r="B23" t="s">
        <v>56</v>
      </c>
      <c r="C23" t="s">
        <v>11</v>
      </c>
      <c r="D23" t="s">
        <v>18</v>
      </c>
      <c r="E23" t="s">
        <v>10</v>
      </c>
      <c r="F23" s="1">
        <v>471</v>
      </c>
      <c r="G23" s="11"/>
    </row>
    <row r="24" spans="1:7" x14ac:dyDescent="0.2">
      <c r="A24">
        <v>23</v>
      </c>
      <c r="B24" t="s">
        <v>57</v>
      </c>
      <c r="C24" t="s">
        <v>8</v>
      </c>
      <c r="D24" t="s">
        <v>9</v>
      </c>
      <c r="E24" t="s">
        <v>14</v>
      </c>
      <c r="F24" s="1">
        <v>776</v>
      </c>
      <c r="G24" s="11"/>
    </row>
    <row r="25" spans="1:7" x14ac:dyDescent="0.2">
      <c r="A25">
        <v>24</v>
      </c>
      <c r="B25" t="s">
        <v>58</v>
      </c>
      <c r="C25" t="s">
        <v>8</v>
      </c>
      <c r="D25" t="s">
        <v>13</v>
      </c>
      <c r="E25" t="s">
        <v>7</v>
      </c>
      <c r="F25" s="1">
        <v>805</v>
      </c>
      <c r="G25" s="11"/>
    </row>
    <row r="26" spans="1:7" x14ac:dyDescent="0.2">
      <c r="A26">
        <v>25</v>
      </c>
      <c r="B26" t="s">
        <v>59</v>
      </c>
      <c r="C26" t="s">
        <v>11</v>
      </c>
      <c r="D26" t="s">
        <v>24</v>
      </c>
      <c r="E26" t="s">
        <v>12</v>
      </c>
      <c r="F26" s="1">
        <v>1020</v>
      </c>
      <c r="G26" s="11"/>
    </row>
    <row r="27" spans="1:7" x14ac:dyDescent="0.2">
      <c r="A27">
        <v>26</v>
      </c>
      <c r="B27" t="s">
        <v>60</v>
      </c>
      <c r="C27" t="s">
        <v>8</v>
      </c>
      <c r="D27" t="s">
        <v>25</v>
      </c>
      <c r="E27" t="s">
        <v>7</v>
      </c>
      <c r="F27" s="1">
        <v>669</v>
      </c>
      <c r="G27" s="11"/>
    </row>
    <row r="28" spans="1:7" x14ac:dyDescent="0.2">
      <c r="A28">
        <v>27</v>
      </c>
      <c r="B28" t="s">
        <v>61</v>
      </c>
      <c r="C28" t="s">
        <v>11</v>
      </c>
      <c r="D28" t="s">
        <v>22</v>
      </c>
      <c r="E28" t="s">
        <v>10</v>
      </c>
      <c r="F28" s="1">
        <v>433</v>
      </c>
      <c r="G28" s="11"/>
    </row>
    <row r="29" spans="1:7" x14ac:dyDescent="0.2">
      <c r="A29">
        <v>28</v>
      </c>
      <c r="B29" t="s">
        <v>62</v>
      </c>
      <c r="C29" t="s">
        <v>8</v>
      </c>
      <c r="D29" t="s">
        <v>21</v>
      </c>
      <c r="E29" t="s">
        <v>17</v>
      </c>
      <c r="F29" s="1">
        <v>880</v>
      </c>
      <c r="G29" s="11"/>
    </row>
    <row r="30" spans="1:7" x14ac:dyDescent="0.2">
      <c r="A30">
        <v>29</v>
      </c>
      <c r="B30" t="s">
        <v>63</v>
      </c>
      <c r="C30" t="s">
        <v>6</v>
      </c>
      <c r="D30" t="s">
        <v>26</v>
      </c>
      <c r="E30" t="s">
        <v>19</v>
      </c>
      <c r="F30" s="1">
        <v>628</v>
      </c>
      <c r="G30" s="11"/>
    </row>
    <row r="31" spans="1:7" x14ac:dyDescent="0.2">
      <c r="A31">
        <v>30</v>
      </c>
      <c r="B31" t="s">
        <v>64</v>
      </c>
      <c r="C31" t="s">
        <v>8</v>
      </c>
      <c r="D31" t="s">
        <v>9</v>
      </c>
      <c r="E31" t="s">
        <v>14</v>
      </c>
      <c r="F31" s="1">
        <v>1161</v>
      </c>
      <c r="G31" s="11"/>
    </row>
    <row r="32" spans="1:7" x14ac:dyDescent="0.2">
      <c r="A32">
        <v>31</v>
      </c>
      <c r="B32" t="s">
        <v>65</v>
      </c>
      <c r="C32" t="s">
        <v>8</v>
      </c>
      <c r="D32" t="s">
        <v>25</v>
      </c>
      <c r="E32" t="s">
        <v>10</v>
      </c>
      <c r="F32" s="1">
        <v>404</v>
      </c>
      <c r="G32" s="11"/>
    </row>
    <row r="33" spans="1:7" x14ac:dyDescent="0.2">
      <c r="A33">
        <v>32</v>
      </c>
      <c r="B33" t="s">
        <v>66</v>
      </c>
      <c r="C33" t="s">
        <v>6</v>
      </c>
      <c r="D33" t="s">
        <v>1</v>
      </c>
      <c r="E33" t="s">
        <v>19</v>
      </c>
      <c r="F33" s="1">
        <v>531</v>
      </c>
      <c r="G33" s="11"/>
    </row>
    <row r="34" spans="1:7" x14ac:dyDescent="0.2">
      <c r="A34">
        <v>33</v>
      </c>
      <c r="B34" t="s">
        <v>67</v>
      </c>
      <c r="C34" t="s">
        <v>11</v>
      </c>
      <c r="D34" t="s">
        <v>0</v>
      </c>
      <c r="E34" t="s">
        <v>7</v>
      </c>
      <c r="F34" s="1">
        <v>934</v>
      </c>
      <c r="G34" s="11"/>
    </row>
    <row r="35" spans="1:7" x14ac:dyDescent="0.2">
      <c r="A35">
        <v>34</v>
      </c>
      <c r="B35" t="s">
        <v>44</v>
      </c>
      <c r="C35" t="s">
        <v>6</v>
      </c>
      <c r="D35" t="s">
        <v>26</v>
      </c>
      <c r="E35" t="s">
        <v>14</v>
      </c>
      <c r="F35" s="1">
        <v>855</v>
      </c>
      <c r="G35" s="11"/>
    </row>
    <row r="36" spans="1:7" x14ac:dyDescent="0.2">
      <c r="A36">
        <v>35</v>
      </c>
      <c r="B36" t="s">
        <v>68</v>
      </c>
      <c r="C36" t="s">
        <v>11</v>
      </c>
      <c r="D36" t="s">
        <v>15</v>
      </c>
      <c r="E36" t="s">
        <v>10</v>
      </c>
      <c r="F36" s="1">
        <v>902</v>
      </c>
      <c r="G36" s="11"/>
    </row>
    <row r="37" spans="1:7" x14ac:dyDescent="0.2">
      <c r="A37">
        <v>36</v>
      </c>
      <c r="B37" t="s">
        <v>69</v>
      </c>
      <c r="C37" t="s">
        <v>6</v>
      </c>
      <c r="D37" t="s">
        <v>23</v>
      </c>
      <c r="E37" t="s">
        <v>17</v>
      </c>
      <c r="F37" s="1">
        <v>527</v>
      </c>
      <c r="G37" s="11"/>
    </row>
    <row r="38" spans="1:7" x14ac:dyDescent="0.2">
      <c r="A38">
        <v>37</v>
      </c>
      <c r="B38" t="s">
        <v>70</v>
      </c>
      <c r="C38" t="s">
        <v>8</v>
      </c>
      <c r="D38" t="s">
        <v>21</v>
      </c>
      <c r="E38" t="s">
        <v>10</v>
      </c>
      <c r="F38" s="1">
        <v>722</v>
      </c>
      <c r="G38" s="11"/>
    </row>
    <row r="39" spans="1:7" x14ac:dyDescent="0.2">
      <c r="A39">
        <v>38</v>
      </c>
      <c r="B39" t="s">
        <v>71</v>
      </c>
      <c r="C39" t="s">
        <v>11</v>
      </c>
      <c r="D39" t="s">
        <v>24</v>
      </c>
      <c r="E39" t="s">
        <v>19</v>
      </c>
      <c r="F39" s="1">
        <v>916</v>
      </c>
      <c r="G39" s="11"/>
    </row>
    <row r="40" spans="1:7" x14ac:dyDescent="0.2">
      <c r="A40">
        <v>39</v>
      </c>
      <c r="B40" t="s">
        <v>72</v>
      </c>
      <c r="C40" t="s">
        <v>6</v>
      </c>
      <c r="D40" t="s">
        <v>1</v>
      </c>
      <c r="E40" t="s">
        <v>12</v>
      </c>
      <c r="F40" s="1">
        <v>660</v>
      </c>
      <c r="G40" s="11"/>
    </row>
    <row r="41" spans="1:7" x14ac:dyDescent="0.2">
      <c r="A41">
        <v>40</v>
      </c>
      <c r="B41" t="s">
        <v>73</v>
      </c>
      <c r="C41" t="s">
        <v>8</v>
      </c>
      <c r="D41" t="s">
        <v>9</v>
      </c>
      <c r="E41" t="s">
        <v>10</v>
      </c>
      <c r="F41" s="1">
        <v>1032</v>
      </c>
      <c r="G41" s="11"/>
    </row>
    <row r="42" spans="1:7" x14ac:dyDescent="0.2">
      <c r="A42">
        <v>41</v>
      </c>
      <c r="B42" t="s">
        <v>74</v>
      </c>
      <c r="C42" t="s">
        <v>11</v>
      </c>
      <c r="D42" t="s">
        <v>0</v>
      </c>
      <c r="E42" t="s">
        <v>14</v>
      </c>
      <c r="F42" s="1">
        <v>342</v>
      </c>
      <c r="G42" s="11"/>
    </row>
    <row r="43" spans="1:7" x14ac:dyDescent="0.2">
      <c r="A43">
        <v>42</v>
      </c>
      <c r="B43" t="s">
        <v>75</v>
      </c>
      <c r="C43" t="s">
        <v>8</v>
      </c>
      <c r="D43" t="s">
        <v>13</v>
      </c>
      <c r="E43" t="s">
        <v>12</v>
      </c>
      <c r="F43" s="1">
        <v>1171</v>
      </c>
      <c r="G43" s="11"/>
    </row>
    <row r="44" spans="1:7" x14ac:dyDescent="0.2">
      <c r="A44">
        <v>43</v>
      </c>
      <c r="B44" t="s">
        <v>76</v>
      </c>
      <c r="C44" t="s">
        <v>8</v>
      </c>
      <c r="D44" t="s">
        <v>21</v>
      </c>
      <c r="E44" t="s">
        <v>7</v>
      </c>
      <c r="F44" s="1">
        <v>544</v>
      </c>
      <c r="G44" s="11"/>
    </row>
    <row r="45" spans="1:7" x14ac:dyDescent="0.2">
      <c r="A45">
        <v>44</v>
      </c>
      <c r="B45" t="s">
        <v>77</v>
      </c>
      <c r="C45" t="s">
        <v>6</v>
      </c>
      <c r="D45" t="s">
        <v>20</v>
      </c>
      <c r="E45" t="s">
        <v>14</v>
      </c>
      <c r="F45" s="1">
        <v>559</v>
      </c>
      <c r="G45" s="11"/>
    </row>
    <row r="46" spans="1:7" x14ac:dyDescent="0.2">
      <c r="A46">
        <v>45</v>
      </c>
      <c r="B46" t="s">
        <v>78</v>
      </c>
      <c r="C46" t="s">
        <v>11</v>
      </c>
      <c r="D46" t="s">
        <v>15</v>
      </c>
      <c r="E46" t="s">
        <v>10</v>
      </c>
      <c r="F46" s="1">
        <v>747</v>
      </c>
      <c r="G46" s="11"/>
    </row>
    <row r="47" spans="1:7" x14ac:dyDescent="0.2">
      <c r="A47">
        <v>46</v>
      </c>
      <c r="B47" t="s">
        <v>79</v>
      </c>
      <c r="C47" t="s">
        <v>6</v>
      </c>
      <c r="D47" t="s">
        <v>27</v>
      </c>
      <c r="E47" t="s">
        <v>7</v>
      </c>
      <c r="F47" s="1">
        <v>961</v>
      </c>
      <c r="G47" s="11"/>
    </row>
    <row r="48" spans="1:7" x14ac:dyDescent="0.2">
      <c r="A48">
        <v>47</v>
      </c>
      <c r="B48" t="s">
        <v>80</v>
      </c>
      <c r="C48" t="s">
        <v>6</v>
      </c>
      <c r="D48" t="s">
        <v>1</v>
      </c>
      <c r="E48" t="s">
        <v>17</v>
      </c>
      <c r="F48" s="1">
        <v>467</v>
      </c>
      <c r="G48" s="11"/>
    </row>
    <row r="49" spans="1:7" x14ac:dyDescent="0.2">
      <c r="A49">
        <v>48</v>
      </c>
      <c r="B49" t="s">
        <v>81</v>
      </c>
      <c r="C49" t="s">
        <v>11</v>
      </c>
      <c r="D49" t="s">
        <v>18</v>
      </c>
      <c r="E49" t="s">
        <v>10</v>
      </c>
      <c r="F49" s="1">
        <v>650</v>
      </c>
      <c r="G49" s="11"/>
    </row>
    <row r="50" spans="1:7" x14ac:dyDescent="0.2">
      <c r="A50">
        <v>49</v>
      </c>
      <c r="B50" t="s">
        <v>82</v>
      </c>
      <c r="C50" t="s">
        <v>6</v>
      </c>
      <c r="D50" t="s">
        <v>23</v>
      </c>
      <c r="E50" t="s">
        <v>14</v>
      </c>
      <c r="F50" s="1">
        <v>441</v>
      </c>
      <c r="G50" s="11"/>
    </row>
    <row r="51" spans="1:7" x14ac:dyDescent="0.2">
      <c r="A51">
        <v>50</v>
      </c>
      <c r="B51" t="s">
        <v>83</v>
      </c>
      <c r="C51" t="s">
        <v>8</v>
      </c>
      <c r="D51" t="s">
        <v>13</v>
      </c>
      <c r="E51" t="s">
        <v>7</v>
      </c>
      <c r="F51" s="1">
        <v>219</v>
      </c>
      <c r="G51" s="11"/>
    </row>
    <row r="52" spans="1:7" x14ac:dyDescent="0.2">
      <c r="A52">
        <v>51</v>
      </c>
      <c r="B52" t="s">
        <v>84</v>
      </c>
      <c r="C52" t="s">
        <v>8</v>
      </c>
      <c r="D52" t="s">
        <v>9</v>
      </c>
      <c r="E52" t="s">
        <v>12</v>
      </c>
      <c r="F52" s="1">
        <v>1053</v>
      </c>
      <c r="G52" s="11"/>
    </row>
    <row r="53" spans="1:7" x14ac:dyDescent="0.2">
      <c r="A53">
        <v>52</v>
      </c>
      <c r="B53" t="s">
        <v>85</v>
      </c>
      <c r="C53" t="s">
        <v>11</v>
      </c>
      <c r="D53" t="s">
        <v>0</v>
      </c>
      <c r="E53" t="s">
        <v>12</v>
      </c>
      <c r="F53" s="1">
        <v>639</v>
      </c>
      <c r="G53" s="11"/>
    </row>
    <row r="54" spans="1:7" x14ac:dyDescent="0.2">
      <c r="A54">
        <v>53</v>
      </c>
      <c r="B54" t="s">
        <v>86</v>
      </c>
      <c r="C54" t="s">
        <v>6</v>
      </c>
      <c r="D54" t="s">
        <v>27</v>
      </c>
      <c r="E54" t="s">
        <v>17</v>
      </c>
      <c r="F54" s="1">
        <v>396</v>
      </c>
      <c r="G54" s="11"/>
    </row>
  </sheetData>
  <phoneticPr fontId="3"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23">
    <tabColor theme="7"/>
  </sheetPr>
  <dimension ref="A1:U80"/>
  <sheetViews>
    <sheetView rightToLeft="1" workbookViewId="0">
      <selection activeCell="C20" sqref="C20"/>
    </sheetView>
  </sheetViews>
  <sheetFormatPr defaultRowHeight="12.75" x14ac:dyDescent="0.2"/>
  <cols>
    <col min="1" max="1" width="14.140625" bestFit="1" customWidth="1"/>
    <col min="2" max="2" width="16.85546875" customWidth="1"/>
    <col min="3" max="3" width="17" bestFit="1" customWidth="1"/>
    <col min="4" max="4" width="12" customWidth="1"/>
    <col min="5" max="5" width="12.42578125" bestFit="1" customWidth="1"/>
    <col min="6" max="6" width="11.5703125" customWidth="1"/>
    <col min="7" max="7" width="13.85546875" bestFit="1" customWidth="1"/>
    <col min="8" max="8" width="7" customWidth="1"/>
    <col min="9" max="9" width="12" customWidth="1"/>
    <col min="10" max="10" width="10.5703125" bestFit="1" customWidth="1"/>
    <col min="13" max="13" width="20.140625" bestFit="1" customWidth="1"/>
    <col min="14" max="14" width="17" bestFit="1" customWidth="1"/>
    <col min="15" max="15" width="4.7109375" customWidth="1"/>
    <col min="16" max="16" width="4.28515625" customWidth="1"/>
    <col min="17" max="17" width="11.7109375" customWidth="1"/>
    <col min="18" max="18" width="11.5703125" bestFit="1" customWidth="1"/>
    <col min="19" max="19" width="13.85546875" bestFit="1" customWidth="1"/>
    <col min="20" max="20" width="5.85546875" customWidth="1"/>
    <col min="21" max="21" width="11.7109375" bestFit="1" customWidth="1"/>
  </cols>
  <sheetData>
    <row r="1" spans="1:21" x14ac:dyDescent="0.2">
      <c r="A1" s="12" t="s">
        <v>29</v>
      </c>
      <c r="B1" s="3"/>
      <c r="C1" s="3"/>
      <c r="D1" s="3"/>
      <c r="E1" s="3"/>
      <c r="F1" s="3"/>
      <c r="G1" s="3"/>
      <c r="H1" s="3"/>
      <c r="I1" s="3"/>
      <c r="J1" s="4"/>
      <c r="L1" s="12" t="s">
        <v>30</v>
      </c>
      <c r="M1" s="3"/>
      <c r="N1" s="3"/>
      <c r="O1" s="27"/>
      <c r="P1" s="3"/>
      <c r="Q1" s="3"/>
      <c r="R1" s="3"/>
      <c r="S1" s="3"/>
      <c r="T1" s="3"/>
      <c r="U1" s="4"/>
    </row>
    <row r="2" spans="1:21" x14ac:dyDescent="0.2">
      <c r="A2" s="5"/>
      <c r="J2" s="6"/>
      <c r="L2" s="5"/>
      <c r="U2" s="6"/>
    </row>
    <row r="3" spans="1:21" x14ac:dyDescent="0.2">
      <c r="A3" s="5"/>
      <c r="J3" s="6"/>
      <c r="L3" s="5"/>
      <c r="U3" s="6"/>
    </row>
    <row r="4" spans="1:21" x14ac:dyDescent="0.2">
      <c r="A4" s="5"/>
      <c r="B4" s="17"/>
      <c r="J4" s="6"/>
      <c r="L4" s="5"/>
      <c r="U4" s="6"/>
    </row>
    <row r="5" spans="1:21" x14ac:dyDescent="0.2">
      <c r="A5" s="5"/>
      <c r="B5" s="17"/>
      <c r="J5" s="6"/>
      <c r="L5" s="5"/>
      <c r="N5" s="17"/>
      <c r="U5" s="6"/>
    </row>
    <row r="6" spans="1:21" x14ac:dyDescent="0.2">
      <c r="A6" s="5"/>
      <c r="B6" s="17"/>
      <c r="J6" s="6"/>
      <c r="L6" s="5"/>
      <c r="N6" s="17"/>
      <c r="U6" s="6"/>
    </row>
    <row r="7" spans="1:21" x14ac:dyDescent="0.2">
      <c r="A7" s="5"/>
      <c r="B7" s="17"/>
      <c r="J7" s="6"/>
      <c r="L7" s="5"/>
      <c r="N7" s="17"/>
      <c r="U7" s="6"/>
    </row>
    <row r="8" spans="1:21" x14ac:dyDescent="0.2">
      <c r="A8" s="5"/>
      <c r="J8" s="6"/>
      <c r="L8" s="5"/>
      <c r="N8" s="17"/>
      <c r="U8" s="6"/>
    </row>
    <row r="9" spans="1:21" x14ac:dyDescent="0.2">
      <c r="A9" s="5"/>
      <c r="J9" s="6"/>
      <c r="L9" s="5"/>
      <c r="N9" s="17"/>
      <c r="U9" s="6"/>
    </row>
    <row r="10" spans="1:21" x14ac:dyDescent="0.2">
      <c r="A10" s="5"/>
      <c r="J10" s="6"/>
      <c r="L10" s="5"/>
      <c r="N10" s="17"/>
      <c r="U10" s="6"/>
    </row>
    <row r="11" spans="1:21" x14ac:dyDescent="0.2">
      <c r="A11" s="5"/>
      <c r="J11" s="6"/>
      <c r="L11" s="5"/>
      <c r="U11" s="6"/>
    </row>
    <row r="12" spans="1:21" x14ac:dyDescent="0.2">
      <c r="A12" s="5"/>
      <c r="J12" s="6"/>
      <c r="L12" s="5"/>
      <c r="U12" s="6"/>
    </row>
    <row r="13" spans="1:21" x14ac:dyDescent="0.2">
      <c r="A13" s="5"/>
      <c r="J13" s="6"/>
      <c r="L13" s="5"/>
      <c r="U13" s="6"/>
    </row>
    <row r="14" spans="1:21" x14ac:dyDescent="0.2">
      <c r="A14" s="5"/>
      <c r="J14" s="6"/>
      <c r="L14" s="5"/>
      <c r="U14" s="6"/>
    </row>
    <row r="15" spans="1:21" x14ac:dyDescent="0.2">
      <c r="A15" s="5"/>
      <c r="J15" s="6"/>
      <c r="L15" s="5"/>
      <c r="U15" s="6"/>
    </row>
    <row r="16" spans="1:21" x14ac:dyDescent="0.2">
      <c r="A16" s="5"/>
      <c r="J16" s="6"/>
      <c r="L16" s="5"/>
      <c r="U16" s="6"/>
    </row>
    <row r="17" spans="1:21" x14ac:dyDescent="0.2">
      <c r="A17" s="5"/>
      <c r="J17" s="6"/>
      <c r="L17" s="5"/>
      <c r="U17" s="6"/>
    </row>
    <row r="18" spans="1:21" x14ac:dyDescent="0.2">
      <c r="A18" s="5"/>
      <c r="J18" s="6"/>
      <c r="L18" s="5"/>
      <c r="U18" s="6"/>
    </row>
    <row r="19" spans="1:21" x14ac:dyDescent="0.2">
      <c r="A19" s="5"/>
      <c r="J19" s="6"/>
      <c r="L19" s="5"/>
      <c r="U19" s="6"/>
    </row>
    <row r="20" spans="1:21" x14ac:dyDescent="0.2">
      <c r="A20" s="5"/>
      <c r="J20" s="6"/>
      <c r="L20" s="5"/>
      <c r="U20" s="6"/>
    </row>
    <row r="21" spans="1:21" x14ac:dyDescent="0.2">
      <c r="A21" s="5"/>
      <c r="J21" s="6"/>
      <c r="L21" s="5"/>
      <c r="U21" s="6"/>
    </row>
    <row r="22" spans="1:21" x14ac:dyDescent="0.2">
      <c r="A22" s="5"/>
      <c r="J22" s="6"/>
      <c r="L22" s="5"/>
      <c r="U22" s="6"/>
    </row>
    <row r="23" spans="1:21" x14ac:dyDescent="0.2">
      <c r="A23" s="5"/>
      <c r="J23" s="6"/>
      <c r="L23" s="5"/>
      <c r="U23" s="6"/>
    </row>
    <row r="24" spans="1:21" x14ac:dyDescent="0.2">
      <c r="A24" s="5"/>
      <c r="J24" s="6"/>
      <c r="L24" s="5"/>
      <c r="U24" s="6"/>
    </row>
    <row r="25" spans="1:21" x14ac:dyDescent="0.2">
      <c r="A25" s="5"/>
      <c r="J25" s="6"/>
      <c r="L25" s="5"/>
      <c r="U25" s="6"/>
    </row>
    <row r="26" spans="1:21" ht="13.5" thickBot="1" x14ac:dyDescent="0.25">
      <c r="A26" s="7"/>
      <c r="B26" s="8"/>
      <c r="C26" s="8"/>
      <c r="D26" s="8"/>
      <c r="E26" s="8"/>
      <c r="F26" s="8"/>
      <c r="G26" s="8"/>
      <c r="H26" s="8"/>
      <c r="I26" s="8"/>
      <c r="J26" s="9"/>
      <c r="L26" s="7"/>
      <c r="M26" s="8"/>
      <c r="N26" s="8"/>
      <c r="O26" s="8"/>
      <c r="P26" s="8"/>
      <c r="Q26" s="8"/>
      <c r="R26" s="8"/>
      <c r="S26" s="8"/>
      <c r="T26" s="8"/>
      <c r="U26" s="9"/>
    </row>
    <row r="27" spans="1:21" ht="13.5" thickBot="1" x14ac:dyDescent="0.25"/>
    <row r="28" spans="1:21" x14ac:dyDescent="0.2">
      <c r="A28" s="12" t="s">
        <v>31</v>
      </c>
      <c r="B28" s="3"/>
      <c r="C28" s="3"/>
      <c r="D28" s="3"/>
      <c r="E28" s="3"/>
      <c r="F28" s="3"/>
      <c r="G28" s="3"/>
      <c r="H28" s="3"/>
      <c r="I28" s="3"/>
      <c r="J28" s="4"/>
      <c r="L28" s="12" t="s">
        <v>32</v>
      </c>
      <c r="M28" s="3"/>
      <c r="N28" s="3"/>
      <c r="O28" s="3"/>
      <c r="P28" s="3"/>
      <c r="Q28" s="3"/>
      <c r="R28" s="3"/>
      <c r="S28" s="3"/>
      <c r="T28" s="3"/>
      <c r="U28" s="4"/>
    </row>
    <row r="29" spans="1:21" x14ac:dyDescent="0.2">
      <c r="A29" s="5"/>
      <c r="J29" s="6"/>
      <c r="L29" s="5"/>
      <c r="U29" s="6"/>
    </row>
    <row r="30" spans="1:21" x14ac:dyDescent="0.2">
      <c r="A30" s="5"/>
      <c r="J30" s="6"/>
      <c r="L30" s="5"/>
      <c r="U30" s="6"/>
    </row>
    <row r="31" spans="1:21" x14ac:dyDescent="0.2">
      <c r="A31" s="5"/>
      <c r="J31" s="6"/>
      <c r="L31" s="5"/>
      <c r="M31" s="17"/>
      <c r="U31" s="6"/>
    </row>
    <row r="32" spans="1:21" x14ac:dyDescent="0.2">
      <c r="A32" s="5"/>
      <c r="J32" s="6"/>
      <c r="L32" s="5"/>
      <c r="M32" s="17"/>
      <c r="U32" s="6"/>
    </row>
    <row r="33" spans="1:21" x14ac:dyDescent="0.2">
      <c r="A33" s="5"/>
      <c r="J33" s="6"/>
      <c r="L33" s="5"/>
      <c r="M33" s="17"/>
      <c r="U33" s="6"/>
    </row>
    <row r="34" spans="1:21" x14ac:dyDescent="0.2">
      <c r="A34" s="5"/>
      <c r="J34" s="6"/>
      <c r="L34" s="5"/>
      <c r="M34" s="17"/>
      <c r="U34" s="6"/>
    </row>
    <row r="35" spans="1:21" x14ac:dyDescent="0.2">
      <c r="A35" s="5"/>
      <c r="J35" s="6"/>
      <c r="L35" s="5"/>
      <c r="M35" s="17"/>
      <c r="U35" s="6"/>
    </row>
    <row r="36" spans="1:21" x14ac:dyDescent="0.2">
      <c r="A36" s="5"/>
      <c r="J36" s="6"/>
      <c r="L36" s="5"/>
      <c r="M36" s="17"/>
      <c r="U36" s="6"/>
    </row>
    <row r="37" spans="1:21" x14ac:dyDescent="0.2">
      <c r="A37" s="5"/>
      <c r="J37" s="6"/>
      <c r="L37" s="5"/>
      <c r="M37" s="17"/>
      <c r="U37" s="6"/>
    </row>
    <row r="38" spans="1:21" x14ac:dyDescent="0.2">
      <c r="A38" s="5"/>
      <c r="J38" s="6"/>
      <c r="L38" s="5"/>
      <c r="U38" s="6"/>
    </row>
    <row r="39" spans="1:21" x14ac:dyDescent="0.2">
      <c r="A39" s="5"/>
      <c r="J39" s="6"/>
      <c r="L39" s="5"/>
      <c r="U39" s="6"/>
    </row>
    <row r="40" spans="1:21" x14ac:dyDescent="0.2">
      <c r="A40" s="5"/>
      <c r="J40" s="6"/>
      <c r="L40" s="5"/>
      <c r="U40" s="6"/>
    </row>
    <row r="41" spans="1:21" x14ac:dyDescent="0.2">
      <c r="A41" s="5"/>
      <c r="J41" s="6"/>
      <c r="L41" s="5"/>
      <c r="U41" s="6"/>
    </row>
    <row r="42" spans="1:21" x14ac:dyDescent="0.2">
      <c r="A42" s="5"/>
      <c r="J42" s="6"/>
      <c r="L42" s="5"/>
      <c r="U42" s="6"/>
    </row>
    <row r="43" spans="1:21" x14ac:dyDescent="0.2">
      <c r="A43" s="5"/>
      <c r="J43" s="6"/>
      <c r="L43" s="5"/>
      <c r="U43" s="6"/>
    </row>
    <row r="44" spans="1:21" x14ac:dyDescent="0.2">
      <c r="A44" s="5"/>
      <c r="J44" s="6"/>
      <c r="L44" s="5"/>
      <c r="U44" s="6"/>
    </row>
    <row r="45" spans="1:21" x14ac:dyDescent="0.2">
      <c r="A45" s="5"/>
      <c r="J45" s="6"/>
      <c r="L45" s="5"/>
      <c r="U45" s="6"/>
    </row>
    <row r="46" spans="1:21" x14ac:dyDescent="0.2">
      <c r="A46" s="5"/>
      <c r="J46" s="6"/>
      <c r="L46" s="5"/>
      <c r="U46" s="6"/>
    </row>
    <row r="47" spans="1:21" x14ac:dyDescent="0.2">
      <c r="A47" s="5"/>
      <c r="J47" s="6"/>
      <c r="L47" s="5"/>
      <c r="U47" s="6"/>
    </row>
    <row r="48" spans="1:21" x14ac:dyDescent="0.2">
      <c r="A48" s="5"/>
      <c r="J48" s="6"/>
      <c r="L48" s="5"/>
      <c r="U48" s="6"/>
    </row>
    <row r="49" spans="1:21" x14ac:dyDescent="0.2">
      <c r="A49" s="5"/>
      <c r="J49" s="6"/>
      <c r="L49" s="5"/>
      <c r="U49" s="6"/>
    </row>
    <row r="50" spans="1:21" x14ac:dyDescent="0.2">
      <c r="A50" s="5"/>
      <c r="J50" s="6"/>
      <c r="L50" s="5"/>
      <c r="U50" s="6"/>
    </row>
    <row r="51" spans="1:21" x14ac:dyDescent="0.2">
      <c r="A51" s="5"/>
      <c r="J51" s="6"/>
      <c r="L51" s="5"/>
      <c r="U51" s="6"/>
    </row>
    <row r="52" spans="1:21" x14ac:dyDescent="0.2">
      <c r="A52" s="5"/>
      <c r="J52" s="6"/>
      <c r="L52" s="5"/>
      <c r="U52" s="6"/>
    </row>
    <row r="53" spans="1:21" ht="13.5" thickBot="1" x14ac:dyDescent="0.25">
      <c r="A53" s="7"/>
      <c r="B53" s="8"/>
      <c r="C53" s="8"/>
      <c r="D53" s="8"/>
      <c r="E53" s="8"/>
      <c r="F53" s="8"/>
      <c r="G53" s="8"/>
      <c r="H53" s="8"/>
      <c r="I53" s="8"/>
      <c r="J53" s="9"/>
      <c r="L53" s="7"/>
      <c r="M53" s="8"/>
      <c r="N53" s="8"/>
      <c r="O53" s="8"/>
      <c r="P53" s="8"/>
      <c r="Q53" s="8"/>
      <c r="R53" s="8"/>
      <c r="S53" s="8"/>
      <c r="T53" s="8"/>
      <c r="U53" s="9"/>
    </row>
    <row r="54" spans="1:21" ht="13.5" thickBot="1" x14ac:dyDescent="0.25"/>
    <row r="55" spans="1:21" x14ac:dyDescent="0.2">
      <c r="A55" s="12" t="s">
        <v>33</v>
      </c>
      <c r="B55" s="3"/>
      <c r="C55" s="3"/>
      <c r="D55" s="3"/>
      <c r="E55" s="3"/>
      <c r="F55" s="3"/>
      <c r="G55" s="3"/>
      <c r="H55" s="3"/>
      <c r="I55" s="3"/>
      <c r="J55" s="4"/>
    </row>
    <row r="56" spans="1:21" x14ac:dyDescent="0.2">
      <c r="A56" s="5"/>
      <c r="J56" s="6"/>
    </row>
    <row r="57" spans="1:21" x14ac:dyDescent="0.2">
      <c r="A57" s="5"/>
      <c r="J57" s="6"/>
    </row>
    <row r="58" spans="1:21" x14ac:dyDescent="0.2">
      <c r="A58" s="5"/>
      <c r="J58" s="6"/>
    </row>
    <row r="59" spans="1:21" x14ac:dyDescent="0.2">
      <c r="A59" s="5"/>
      <c r="J59" s="6"/>
    </row>
    <row r="60" spans="1:21" x14ac:dyDescent="0.2">
      <c r="A60" s="5"/>
      <c r="J60" s="6"/>
    </row>
    <row r="61" spans="1:21" x14ac:dyDescent="0.2">
      <c r="A61" s="5"/>
      <c r="J61" s="6"/>
    </row>
    <row r="62" spans="1:21" x14ac:dyDescent="0.2">
      <c r="A62" s="5"/>
      <c r="J62" s="6"/>
    </row>
    <row r="63" spans="1:21" x14ac:dyDescent="0.2">
      <c r="A63" s="5"/>
      <c r="J63" s="6"/>
    </row>
    <row r="64" spans="1:21" x14ac:dyDescent="0.2">
      <c r="A64" s="5"/>
      <c r="J64" s="6"/>
    </row>
    <row r="65" spans="1:10" x14ac:dyDescent="0.2">
      <c r="A65" s="5"/>
      <c r="J65" s="6"/>
    </row>
    <row r="66" spans="1:10" x14ac:dyDescent="0.2">
      <c r="A66" s="5"/>
      <c r="J66" s="6"/>
    </row>
    <row r="67" spans="1:10" x14ac:dyDescent="0.2">
      <c r="A67" s="5"/>
      <c r="J67" s="6"/>
    </row>
    <row r="68" spans="1:10" x14ac:dyDescent="0.2">
      <c r="A68" s="5"/>
      <c r="J68" s="6"/>
    </row>
    <row r="69" spans="1:10" x14ac:dyDescent="0.2">
      <c r="A69" s="5"/>
      <c r="J69" s="6"/>
    </row>
    <row r="70" spans="1:10" x14ac:dyDescent="0.2">
      <c r="A70" s="5"/>
      <c r="J70" s="6"/>
    </row>
    <row r="71" spans="1:10" x14ac:dyDescent="0.2">
      <c r="A71" s="5"/>
      <c r="J71" s="6"/>
    </row>
    <row r="72" spans="1:10" x14ac:dyDescent="0.2">
      <c r="A72" s="5"/>
      <c r="J72" s="6"/>
    </row>
    <row r="73" spans="1:10" x14ac:dyDescent="0.2">
      <c r="A73" s="5"/>
      <c r="J73" s="6"/>
    </row>
    <row r="74" spans="1:10" x14ac:dyDescent="0.2">
      <c r="A74" s="5"/>
      <c r="J74" s="6"/>
    </row>
    <row r="75" spans="1:10" x14ac:dyDescent="0.2">
      <c r="A75" s="5"/>
      <c r="J75" s="6"/>
    </row>
    <row r="76" spans="1:10" x14ac:dyDescent="0.2">
      <c r="A76" s="5"/>
      <c r="J76" s="6"/>
    </row>
    <row r="77" spans="1:10" x14ac:dyDescent="0.2">
      <c r="A77" s="5"/>
      <c r="J77" s="6"/>
    </row>
    <row r="78" spans="1:10" x14ac:dyDescent="0.2">
      <c r="A78" s="5"/>
      <c r="J78" s="6"/>
    </row>
    <row r="79" spans="1:10" x14ac:dyDescent="0.2">
      <c r="A79" s="5"/>
      <c r="J79" s="6"/>
    </row>
    <row r="80" spans="1:10" ht="13.5" thickBot="1" x14ac:dyDescent="0.25">
      <c r="A80" s="7"/>
      <c r="B80" s="8"/>
      <c r="C80" s="8"/>
      <c r="D80" s="8"/>
      <c r="E80" s="8"/>
      <c r="F80" s="8"/>
      <c r="G80" s="8"/>
      <c r="H80" s="8"/>
      <c r="I80" s="8"/>
      <c r="J80" s="9"/>
    </row>
  </sheetData>
  <phoneticPr fontId="3"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7"/>
  </sheetPr>
  <dimension ref="A2:K35"/>
  <sheetViews>
    <sheetView rightToLeft="1" topLeftCell="A12" workbookViewId="0">
      <selection activeCell="N26" sqref="N26"/>
    </sheetView>
  </sheetViews>
  <sheetFormatPr defaultRowHeight="12.75" x14ac:dyDescent="0.2"/>
  <cols>
    <col min="1" max="1" width="8" bestFit="1" customWidth="1"/>
    <col min="2" max="2" width="10.140625" bestFit="1" customWidth="1"/>
    <col min="3" max="3" width="9.5703125" bestFit="1" customWidth="1"/>
    <col min="4" max="4" width="10.140625" bestFit="1" customWidth="1"/>
    <col min="9" max="9" width="11.7109375" bestFit="1" customWidth="1"/>
    <col min="11" max="11" width="10.140625" bestFit="1" customWidth="1"/>
  </cols>
  <sheetData>
    <row r="2" spans="1:11" ht="13.5" thickBot="1" x14ac:dyDescent="0.25"/>
    <row r="3" spans="1:11" x14ac:dyDescent="0.2">
      <c r="A3" s="10" t="s">
        <v>89</v>
      </c>
      <c r="B3" s="10" t="s">
        <v>2</v>
      </c>
      <c r="C3" s="10" t="s">
        <v>87</v>
      </c>
      <c r="D3" s="10" t="s">
        <v>88</v>
      </c>
      <c r="I3" s="15" t="s">
        <v>123</v>
      </c>
      <c r="J3" s="21" t="s">
        <v>87</v>
      </c>
      <c r="K3" s="16" t="s">
        <v>88</v>
      </c>
    </row>
    <row r="4" spans="1:11" x14ac:dyDescent="0.2">
      <c r="A4" t="s">
        <v>90</v>
      </c>
      <c r="B4" t="s">
        <v>37</v>
      </c>
      <c r="C4" s="1" t="s">
        <v>109</v>
      </c>
      <c r="D4">
        <v>23.141876709547326</v>
      </c>
      <c r="H4" s="18"/>
      <c r="I4" s="13"/>
      <c r="J4" s="2"/>
      <c r="K4" s="14"/>
    </row>
    <row r="5" spans="1:11" x14ac:dyDescent="0.2">
      <c r="A5" t="s">
        <v>91</v>
      </c>
      <c r="B5" t="s">
        <v>38</v>
      </c>
      <c r="C5" s="1">
        <v>1534</v>
      </c>
      <c r="D5">
        <v>19.538041898361058</v>
      </c>
      <c r="I5" s="13"/>
      <c r="J5" s="2"/>
      <c r="K5" s="14"/>
    </row>
    <row r="6" spans="1:11" x14ac:dyDescent="0.2">
      <c r="A6" t="s">
        <v>92</v>
      </c>
      <c r="B6" t="s">
        <v>39</v>
      </c>
      <c r="C6" s="1" t="s">
        <v>110</v>
      </c>
      <c r="D6">
        <v>83.099044423223773</v>
      </c>
      <c r="I6" s="13"/>
      <c r="J6" s="2"/>
      <c r="K6" s="14"/>
    </row>
    <row r="7" spans="1:11" x14ac:dyDescent="0.2">
      <c r="A7" t="s">
        <v>93</v>
      </c>
      <c r="B7" t="s">
        <v>40</v>
      </c>
      <c r="C7" s="1" t="s">
        <v>111</v>
      </c>
      <c r="D7">
        <v>96.549447675550354</v>
      </c>
      <c r="I7" s="13"/>
      <c r="J7" s="2"/>
      <c r="K7" s="14"/>
    </row>
    <row r="8" spans="1:11" x14ac:dyDescent="0.2">
      <c r="A8" t="s">
        <v>94</v>
      </c>
      <c r="B8" t="s">
        <v>41</v>
      </c>
      <c r="C8" s="1" t="s">
        <v>112</v>
      </c>
      <c r="D8">
        <v>33.393873817123286</v>
      </c>
      <c r="I8" s="13"/>
      <c r="J8" s="2"/>
      <c r="K8" s="14"/>
    </row>
    <row r="9" spans="1:11" x14ac:dyDescent="0.2">
      <c r="A9" t="s">
        <v>95</v>
      </c>
      <c r="B9" t="s">
        <v>42</v>
      </c>
      <c r="C9" s="1" t="s">
        <v>108</v>
      </c>
      <c r="D9">
        <v>45.96</v>
      </c>
      <c r="I9" s="13"/>
      <c r="J9" s="2"/>
      <c r="K9" s="14"/>
    </row>
    <row r="10" spans="1:11" x14ac:dyDescent="0.2">
      <c r="A10" t="s">
        <v>96</v>
      </c>
      <c r="B10" t="s">
        <v>43</v>
      </c>
      <c r="C10" s="1">
        <v>659766</v>
      </c>
      <c r="D10">
        <v>22.045991126526985</v>
      </c>
      <c r="I10" s="13"/>
      <c r="J10" s="2"/>
      <c r="K10" s="14"/>
    </row>
    <row r="11" spans="1:11" x14ac:dyDescent="0.2">
      <c r="A11" t="s">
        <v>53</v>
      </c>
      <c r="B11" t="s">
        <v>45</v>
      </c>
      <c r="C11" s="1" t="s">
        <v>113</v>
      </c>
      <c r="D11">
        <v>21.913017391334733</v>
      </c>
      <c r="I11" s="13"/>
      <c r="J11" s="2"/>
      <c r="K11" s="14"/>
    </row>
    <row r="12" spans="1:11" x14ac:dyDescent="0.2">
      <c r="A12" t="s">
        <v>97</v>
      </c>
      <c r="B12" t="s">
        <v>46</v>
      </c>
      <c r="C12" s="1" t="s">
        <v>114</v>
      </c>
      <c r="D12">
        <v>32.784921030886416</v>
      </c>
      <c r="I12" s="13"/>
      <c r="J12" s="2"/>
      <c r="K12" s="14"/>
    </row>
    <row r="13" spans="1:11" x14ac:dyDescent="0.2">
      <c r="A13" t="s">
        <v>98</v>
      </c>
      <c r="B13" t="s">
        <v>47</v>
      </c>
      <c r="C13" s="1" t="s">
        <v>115</v>
      </c>
      <c r="D13">
        <v>90.360094746677547</v>
      </c>
      <c r="I13" s="13"/>
      <c r="J13" s="2"/>
      <c r="K13" s="14"/>
    </row>
    <row r="14" spans="1:11" x14ac:dyDescent="0.2">
      <c r="A14" t="s">
        <v>46</v>
      </c>
      <c r="B14" t="s">
        <v>48</v>
      </c>
      <c r="C14" s="1" t="s">
        <v>116</v>
      </c>
      <c r="D14">
        <v>39.261351557615413</v>
      </c>
      <c r="I14" s="13"/>
      <c r="J14" s="2"/>
      <c r="K14" s="14"/>
    </row>
    <row r="15" spans="1:11" x14ac:dyDescent="0.2">
      <c r="A15" t="s">
        <v>99</v>
      </c>
      <c r="B15" t="s">
        <v>49</v>
      </c>
      <c r="C15" s="1">
        <v>321648</v>
      </c>
      <c r="D15">
        <v>6.9248706096063373</v>
      </c>
      <c r="I15" s="13"/>
      <c r="J15" s="2"/>
      <c r="K15" s="14"/>
    </row>
    <row r="16" spans="1:11" x14ac:dyDescent="0.2">
      <c r="A16" t="s">
        <v>100</v>
      </c>
      <c r="B16" t="s">
        <v>50</v>
      </c>
      <c r="C16" s="1" t="s">
        <v>117</v>
      </c>
      <c r="D16">
        <v>46.018009910859554</v>
      </c>
      <c r="I16" s="13"/>
      <c r="J16" s="2"/>
      <c r="K16" s="14"/>
    </row>
    <row r="17" spans="1:11" x14ac:dyDescent="0.2">
      <c r="A17" t="s">
        <v>101</v>
      </c>
      <c r="B17" t="s">
        <v>51</v>
      </c>
      <c r="C17" s="1">
        <v>5921635</v>
      </c>
      <c r="D17">
        <v>11.62</v>
      </c>
      <c r="I17" s="13"/>
      <c r="J17" s="2"/>
      <c r="K17" s="14"/>
    </row>
    <row r="18" spans="1:11" x14ac:dyDescent="0.2">
      <c r="A18" t="s">
        <v>102</v>
      </c>
      <c r="B18" t="s">
        <v>44</v>
      </c>
      <c r="C18" s="1">
        <v>329676</v>
      </c>
      <c r="D18">
        <v>88.033114005587805</v>
      </c>
      <c r="I18" s="13"/>
      <c r="J18" s="2"/>
      <c r="K18" s="14"/>
    </row>
    <row r="19" spans="1:11" x14ac:dyDescent="0.2">
      <c r="A19" t="s">
        <v>103</v>
      </c>
      <c r="B19" t="s">
        <v>52</v>
      </c>
      <c r="C19" s="1" t="s">
        <v>119</v>
      </c>
      <c r="D19">
        <v>32.014803002754036</v>
      </c>
      <c r="I19" s="13"/>
      <c r="J19" s="2"/>
      <c r="K19" s="14"/>
    </row>
    <row r="20" spans="1:11" x14ac:dyDescent="0.2">
      <c r="A20" t="s">
        <v>104</v>
      </c>
      <c r="B20" t="s">
        <v>53</v>
      </c>
      <c r="C20" s="1" t="s">
        <v>118</v>
      </c>
      <c r="D20">
        <v>73.650000000000006</v>
      </c>
      <c r="I20" s="13"/>
      <c r="J20" s="2"/>
      <c r="K20" s="14"/>
    </row>
    <row r="21" spans="1:11" x14ac:dyDescent="0.2">
      <c r="A21" t="s">
        <v>105</v>
      </c>
      <c r="B21" t="s">
        <v>54</v>
      </c>
      <c r="C21" s="1" t="s">
        <v>120</v>
      </c>
      <c r="D21">
        <v>52.969557964560288</v>
      </c>
      <c r="I21" s="13"/>
      <c r="J21" s="2"/>
      <c r="K21" s="14"/>
    </row>
    <row r="22" spans="1:11" x14ac:dyDescent="0.2">
      <c r="A22" t="s">
        <v>106</v>
      </c>
      <c r="B22" t="s">
        <v>55</v>
      </c>
      <c r="C22" s="1" t="s">
        <v>121</v>
      </c>
      <c r="D22">
        <v>70.556913531587753</v>
      </c>
      <c r="I22" s="13"/>
      <c r="J22" s="2"/>
      <c r="K22" s="14"/>
    </row>
    <row r="23" spans="1:11" x14ac:dyDescent="0.2">
      <c r="A23" t="s">
        <v>107</v>
      </c>
      <c r="B23" t="s">
        <v>56</v>
      </c>
      <c r="C23" s="1" t="s">
        <v>122</v>
      </c>
      <c r="D23">
        <v>16.321839867647636</v>
      </c>
      <c r="I23" s="13"/>
      <c r="J23" s="2"/>
      <c r="K23" s="14"/>
    </row>
    <row r="24" spans="1:11" x14ac:dyDescent="0.2">
      <c r="D24" s="11"/>
    </row>
    <row r="25" spans="1:11" x14ac:dyDescent="0.2">
      <c r="D25" s="11"/>
    </row>
    <row r="26" spans="1:11" x14ac:dyDescent="0.2">
      <c r="D26" s="11"/>
      <c r="J26" s="19"/>
      <c r="K26" s="19"/>
    </row>
    <row r="27" spans="1:11" x14ac:dyDescent="0.2">
      <c r="D27" s="11"/>
      <c r="J27" s="20"/>
      <c r="K27" s="20"/>
    </row>
    <row r="28" spans="1:11" x14ac:dyDescent="0.2">
      <c r="D28" s="11"/>
      <c r="J28" s="20"/>
      <c r="K28" s="20"/>
    </row>
    <row r="29" spans="1:11" x14ac:dyDescent="0.2">
      <c r="J29" s="20"/>
      <c r="K29" s="20"/>
    </row>
    <row r="30" spans="1:11" x14ac:dyDescent="0.2">
      <c r="J30" s="20"/>
      <c r="K30" s="20"/>
    </row>
    <row r="31" spans="1:11" x14ac:dyDescent="0.2">
      <c r="J31" s="20"/>
      <c r="K31" s="20"/>
    </row>
    <row r="32" spans="1:11" x14ac:dyDescent="0.2">
      <c r="J32" s="20"/>
      <c r="K32" s="20"/>
    </row>
    <row r="33" spans="10:11" x14ac:dyDescent="0.2">
      <c r="J33" s="20"/>
      <c r="K33" s="20"/>
    </row>
    <row r="34" spans="10:11" x14ac:dyDescent="0.2">
      <c r="J34" s="20"/>
      <c r="K34" s="20"/>
    </row>
    <row r="35" spans="10:11" x14ac:dyDescent="0.2">
      <c r="K35" s="20"/>
    </row>
  </sheetData>
  <phoneticPr fontId="3" type="noConversion"/>
  <pageMargins left="0.75" right="0.75" top="1" bottom="1" header="0.5" footer="0.5"/>
  <pageSetup paperSize="9"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CAA73373-BA56-4C01-A27F-3F8F9305B44C}">
  <ds:schemaRefs>
    <ds:schemaRef ds:uri="http://schemas.microsoft.com/DataMashup"/>
  </ds:schemaRefs>
</ds:datastoreItem>
</file>

<file path=customXml/itemProps2.xml><?xml version="1.0" encoding="utf-8"?>
<ds:datastoreItem xmlns:ds="http://schemas.openxmlformats.org/officeDocument/2006/customXml" ds:itemID="{0A92082F-F4DE-4C71-AF5F-68CCF2A265A7}">
  <ds:schemaRefs/>
</ds:datastoreItem>
</file>

<file path=customXml/itemProps3.xml><?xml version="1.0" encoding="utf-8"?>
<ds:datastoreItem xmlns:ds="http://schemas.openxmlformats.org/officeDocument/2006/customXml" ds:itemID="{B1410389-6833-45D4-B373-63DA23EF1651}">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23601CEB-5396-4891-8B8F-B547D4C96488}">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A54185EE-6D26-44AA-9679-45D08145E2FD}">
  <ds:schemaRefs/>
</ds:datastoreItem>
</file>

<file path=customXml/itemProps6.xml><?xml version="1.0" encoding="utf-8"?>
<ds:datastoreItem xmlns:ds="http://schemas.openxmlformats.org/officeDocument/2006/customXml" ds:itemID="{2861828B-7063-444F-B9B2-67A4725B3428}">
  <ds:schemaRefs/>
</ds:datastoreItem>
</file>

<file path=customXml/itemProps7.xml><?xml version="1.0" encoding="utf-8"?>
<ds:datastoreItem xmlns:ds="http://schemas.openxmlformats.org/officeDocument/2006/customXml" ds:itemID="{475B5848-4600-4311-BDFC-4B564F6E1D91}">
  <ds:schemaRefs/>
</ds:datastoreItem>
</file>

<file path=customXml/itemProps8.xml><?xml version="1.0" encoding="utf-8"?>
<ds:datastoreItem xmlns:ds="http://schemas.openxmlformats.org/officeDocument/2006/customXml" ds:itemID="{65770179-ACC7-41AB-96ED-71E802205072}">
  <ds:schemaRefs/>
</ds:datastoreItem>
</file>

<file path=customXml/itemProps9.xml><?xml version="1.0" encoding="utf-8"?>
<ds:datastoreItem xmlns:ds="http://schemas.openxmlformats.org/officeDocument/2006/customXml" ds:itemID="{429FBC35-7C5D-447D-B7DC-EA57EEDC0B4E}">
  <ds:schemaRefs/>
</ds:datastoreItem>
</file>

<file path=customXml/itemProps10.xml><?xml version="1.0" encoding="utf-8"?>
<ds:datastoreItem xmlns:ds="http://schemas.openxmlformats.org/officeDocument/2006/customXml" ds:itemID="{E54C0C46-6746-4428-922F-442C3E0026C7}">
  <ds:schemaRefs/>
</ds:datastoreItem>
</file>

<file path=customXml/itemProps11.xml><?xml version="1.0" encoding="utf-8"?>
<ds:datastoreItem xmlns:ds="http://schemas.openxmlformats.org/officeDocument/2006/customXml" ds:itemID="{75DA3BDC-4C04-44F8-81EF-468062CF72ED}">
  <ds:schemaRefs/>
</ds:datastoreItem>
</file>

<file path=customXml/itemProps12.xml><?xml version="1.0" encoding="utf-8"?>
<ds:datastoreItem xmlns:ds="http://schemas.openxmlformats.org/officeDocument/2006/customXml" ds:itemID="{154A80FB-E1F0-47B8-9DC0-57F07B54BE32}">
  <ds:schemaRefs/>
</ds:datastoreItem>
</file>

<file path=customXml/itemProps13.xml><?xml version="1.0" encoding="utf-8"?>
<ds:datastoreItem xmlns:ds="http://schemas.openxmlformats.org/officeDocument/2006/customXml" ds:itemID="{5D31B4D9-2ABD-4378-B0E8-7D90C6C7DF83}">
  <ds:schemaRefs/>
</ds:datastoreItem>
</file>

<file path=customXml/itemProps14.xml><?xml version="1.0" encoding="utf-8"?>
<ds:datastoreItem xmlns:ds="http://schemas.openxmlformats.org/officeDocument/2006/customXml" ds:itemID="{0D536EA5-6911-40D8-BFAA-D4F94219328A}">
  <ds:schemaRefs/>
</ds:datastoreItem>
</file>

<file path=customXml/itemProps15.xml><?xml version="1.0" encoding="utf-8"?>
<ds:datastoreItem xmlns:ds="http://schemas.openxmlformats.org/officeDocument/2006/customXml" ds:itemID="{9FDA2979-E4A1-4A87-9E11-CD06A842E2D4}">
  <ds:schemaRefs/>
</ds:datastoreItem>
</file>

<file path=customXml/itemProps16.xml><?xml version="1.0" encoding="utf-8"?>
<ds:datastoreItem xmlns:ds="http://schemas.openxmlformats.org/officeDocument/2006/customXml" ds:itemID="{A7842476-2606-4BF1-B3D2-0BCEF9849593}">
  <ds:schemaRefs/>
</ds:datastoreItem>
</file>

<file path=customXml/itemProps17.xml><?xml version="1.0" encoding="utf-8"?>
<ds:datastoreItem xmlns:ds="http://schemas.openxmlformats.org/officeDocument/2006/customXml" ds:itemID="{35A626AC-3A79-4DE2-9DC9-892B4C2720CD}">
  <ds:schemaRefs/>
</ds:datastoreItem>
</file>

<file path=customXml/itemProps18.xml><?xml version="1.0" encoding="utf-8"?>
<ds:datastoreItem xmlns:ds="http://schemas.openxmlformats.org/officeDocument/2006/customXml" ds:itemID="{2FBD7732-D0C2-4B03-B802-A7B9E8F35164}">
  <ds:schemaRefs/>
</ds:datastoreItem>
</file>

<file path=customXml/itemProps19.xml><?xml version="1.0" encoding="utf-8"?>
<ds:datastoreItem xmlns:ds="http://schemas.openxmlformats.org/officeDocument/2006/customXml" ds:itemID="{53E2D703-96EB-4E0B-B9F7-6599C2B135C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חיזוי</vt:lpstr>
      <vt:lpstr>conditional formatting</vt:lpstr>
      <vt:lpstr> טבלת ציר</vt:lpstr>
      <vt:lpstr>נתונים לטבלת ציר</vt:lpstr>
      <vt:lpstr>תשובות לטבלת ציר</vt:lpstr>
      <vt:lpstr>עבודה אישית</vt:lpstr>
    </vt:vector>
  </TitlesOfParts>
  <Manager>רוני ויצמן</Manager>
  <Company>אב"ג המחלקה להנדסת תעו"נ</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97</dc:title>
  <dc:subject>קובץ תרגילים</dc:subject>
  <dc:creator>אורלי יהלום ושרייבר גיא</dc:creator>
  <cp:lastModifiedBy>אלכסנדר אישוטקין</cp:lastModifiedBy>
  <cp:lastPrinted>2007-10-14T13:15:43Z</cp:lastPrinted>
  <dcterms:created xsi:type="dcterms:W3CDTF">1997-12-19T10:16:43Z</dcterms:created>
  <dcterms:modified xsi:type="dcterms:W3CDTF">2025-11-02T13:48:20Z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gt;&lt;version val=&quot;15545&quot;/&gt;&lt;partner val=&quot;530&quot;/&gt;&lt;CXlWorkbook id=&quot;1&quot;&gt;&lt;m_cxllink/&gt;&lt;/CXlWorkbook&gt;&lt;/root&gt;">
    <vt:lpwstr/>
  </property>
</Properties>
</file>